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wkmsolutionsoffice-my.sharepoint.com/personal/aline_wkmsolutions_net/Documents/Desktop/"/>
    </mc:Choice>
  </mc:AlternateContent>
  <xr:revisionPtr revIDLastSave="3897" documentId="11_4DFB744EF10C6F320BCE643C73731C8103B5517E" xr6:coauthVersionLast="47" xr6:coauthVersionMax="47" xr10:uidLastSave="{5DD94401-A9CB-4E84-85D0-AE7CC2970083}"/>
  <bookViews>
    <workbookView xWindow="-108" yWindow="-108" windowWidth="23256" windowHeight="13896" xr2:uid="{00000000-000D-0000-FFFF-FFFF00000000}"/>
  </bookViews>
  <sheets>
    <sheet name="Orçamento sugerido" sheetId="1" r:id="rId1"/>
  </sheets>
  <definedNames>
    <definedName name="_xlnm.Print_Titles" localSheetId="0">'Orçamento sugerido'!$1:$9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8" i="1" l="1"/>
  <c r="J308" i="1" s="1"/>
  <c r="I308" i="1"/>
  <c r="D120" i="1"/>
  <c r="D121" i="1"/>
  <c r="H300" i="1"/>
  <c r="I300" i="1"/>
  <c r="H301" i="1"/>
  <c r="J301" i="1" s="1"/>
  <c r="I301" i="1"/>
  <c r="H302" i="1"/>
  <c r="I302" i="1"/>
  <c r="J302" i="1"/>
  <c r="H299" i="1"/>
  <c r="G299" i="1"/>
  <c r="G300" i="1"/>
  <c r="G301" i="1"/>
  <c r="F259" i="1"/>
  <c r="F276" i="1"/>
  <c r="F265" i="1"/>
  <c r="F233" i="1"/>
  <c r="I177" i="1"/>
  <c r="J177" i="1" s="1"/>
  <c r="H177" i="1"/>
  <c r="I148" i="1"/>
  <c r="H148" i="1"/>
  <c r="J148" i="1" s="1"/>
  <c r="I79" i="1"/>
  <c r="I78" i="1"/>
  <c r="H78" i="1"/>
  <c r="F79" i="1"/>
  <c r="H79" i="1" s="1"/>
  <c r="F160" i="1"/>
  <c r="I21" i="1"/>
  <c r="I22" i="1"/>
  <c r="I23" i="1"/>
  <c r="I24" i="1"/>
  <c r="I25" i="1"/>
  <c r="I26" i="1"/>
  <c r="I27" i="1"/>
  <c r="I28" i="1"/>
  <c r="J28" i="1" s="1"/>
  <c r="I29" i="1"/>
  <c r="J29" i="1" s="1"/>
  <c r="I30" i="1"/>
  <c r="I31" i="1"/>
  <c r="I32" i="1"/>
  <c r="I33" i="1"/>
  <c r="I34" i="1"/>
  <c r="I35" i="1"/>
  <c r="I36" i="1"/>
  <c r="I37" i="1"/>
  <c r="I38" i="1"/>
  <c r="I3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I19" i="1"/>
  <c r="H19" i="1"/>
  <c r="G20" i="1"/>
  <c r="I20" i="1" s="1"/>
  <c r="F14" i="1"/>
  <c r="I307" i="1"/>
  <c r="H307" i="1"/>
  <c r="J307" i="1" s="1"/>
  <c r="J300" i="1" l="1"/>
  <c r="J33" i="1"/>
  <c r="J78" i="1"/>
  <c r="J32" i="1"/>
  <c r="J31" i="1"/>
  <c r="J20" i="1"/>
  <c r="J38" i="1"/>
  <c r="J26" i="1"/>
  <c r="J37" i="1"/>
  <c r="J36" i="1"/>
  <c r="J39" i="1"/>
  <c r="J35" i="1"/>
  <c r="J27" i="1"/>
  <c r="J24" i="1"/>
  <c r="J22" i="1"/>
  <c r="J79" i="1"/>
  <c r="C85" i="1" s="1"/>
  <c r="J21" i="1"/>
  <c r="J19" i="1"/>
  <c r="J23" i="1"/>
  <c r="J34" i="1"/>
  <c r="J30" i="1"/>
  <c r="J25" i="1"/>
  <c r="C309" i="1"/>
  <c r="H48" i="1" l="1"/>
  <c r="I48" i="1"/>
  <c r="J48" i="1" l="1"/>
  <c r="H126" i="1" l="1"/>
  <c r="H127" i="1"/>
  <c r="I127" i="1"/>
  <c r="H159" i="1"/>
  <c r="I159" i="1"/>
  <c r="H100" i="1"/>
  <c r="I100" i="1"/>
  <c r="H156" i="1"/>
  <c r="H157" i="1"/>
  <c r="H158" i="1"/>
  <c r="H160" i="1"/>
  <c r="I98" i="1"/>
  <c r="H98" i="1"/>
  <c r="J127" i="1" l="1"/>
  <c r="I126" i="1"/>
  <c r="J126" i="1" s="1"/>
  <c r="J159" i="1"/>
  <c r="J100" i="1"/>
  <c r="J98" i="1"/>
  <c r="H232" i="1"/>
  <c r="I232" i="1"/>
  <c r="I233" i="1"/>
  <c r="H234" i="1"/>
  <c r="I234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106" i="1"/>
  <c r="H107" i="1"/>
  <c r="I231" i="1"/>
  <c r="H231" i="1"/>
  <c r="H248" i="1"/>
  <c r="I248" i="1"/>
  <c r="I247" i="1"/>
  <c r="I246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I107" i="1"/>
  <c r="I106" i="1"/>
  <c r="H99" i="1"/>
  <c r="I99" i="1"/>
  <c r="H292" i="1"/>
  <c r="I294" i="1"/>
  <c r="H293" i="1"/>
  <c r="H291" i="1"/>
  <c r="H290" i="1"/>
  <c r="I285" i="1"/>
  <c r="H285" i="1"/>
  <c r="H173" i="1"/>
  <c r="I173" i="1"/>
  <c r="H174" i="1"/>
  <c r="I174" i="1"/>
  <c r="H172" i="1"/>
  <c r="H167" i="1"/>
  <c r="I168" i="1"/>
  <c r="H171" i="1"/>
  <c r="H101" i="1"/>
  <c r="I101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C128" i="1" l="1"/>
  <c r="C129" i="1" s="1"/>
  <c r="H134" i="1"/>
  <c r="I134" i="1"/>
  <c r="H133" i="1"/>
  <c r="I133" i="1"/>
  <c r="J278" i="1"/>
  <c r="J270" i="1"/>
  <c r="J262" i="1"/>
  <c r="J275" i="1"/>
  <c r="J277" i="1"/>
  <c r="J268" i="1"/>
  <c r="J264" i="1"/>
  <c r="J234" i="1"/>
  <c r="J273" i="1"/>
  <c r="J233" i="1"/>
  <c r="J232" i="1"/>
  <c r="J271" i="1"/>
  <c r="J280" i="1"/>
  <c r="J266" i="1"/>
  <c r="J274" i="1"/>
  <c r="J267" i="1"/>
  <c r="J279" i="1"/>
  <c r="J276" i="1"/>
  <c r="J269" i="1"/>
  <c r="J265" i="1"/>
  <c r="J272" i="1"/>
  <c r="J261" i="1"/>
  <c r="J263" i="1"/>
  <c r="J106" i="1"/>
  <c r="J107" i="1"/>
  <c r="J231" i="1"/>
  <c r="H247" i="1"/>
  <c r="J247" i="1" s="1"/>
  <c r="J248" i="1"/>
  <c r="J223" i="1"/>
  <c r="J225" i="1"/>
  <c r="J221" i="1"/>
  <c r="J222" i="1"/>
  <c r="J220" i="1"/>
  <c r="J224" i="1"/>
  <c r="J91" i="1"/>
  <c r="J219" i="1"/>
  <c r="J173" i="1"/>
  <c r="H294" i="1"/>
  <c r="J294" i="1" s="1"/>
  <c r="J94" i="1"/>
  <c r="J99" i="1"/>
  <c r="I293" i="1"/>
  <c r="J293" i="1" s="1"/>
  <c r="I292" i="1"/>
  <c r="J292" i="1" s="1"/>
  <c r="I291" i="1"/>
  <c r="J291" i="1" s="1"/>
  <c r="I290" i="1"/>
  <c r="J290" i="1" s="1"/>
  <c r="H246" i="1"/>
  <c r="J246" i="1" s="1"/>
  <c r="J285" i="1"/>
  <c r="C286" i="1" s="1"/>
  <c r="J174" i="1"/>
  <c r="J92" i="1"/>
  <c r="J97" i="1"/>
  <c r="J93" i="1"/>
  <c r="I167" i="1"/>
  <c r="J167" i="1" s="1"/>
  <c r="H168" i="1"/>
  <c r="J168" i="1" s="1"/>
  <c r="I172" i="1"/>
  <c r="J172" i="1" s="1"/>
  <c r="I171" i="1"/>
  <c r="J171" i="1" s="1"/>
  <c r="J96" i="1"/>
  <c r="J95" i="1"/>
  <c r="J101" i="1"/>
  <c r="I90" i="1"/>
  <c r="H90" i="1"/>
  <c r="I89" i="1"/>
  <c r="H89" i="1"/>
  <c r="H44" i="1"/>
  <c r="H45" i="1"/>
  <c r="I12" i="1"/>
  <c r="I13" i="1"/>
  <c r="I11" i="1"/>
  <c r="C108" i="1" l="1"/>
  <c r="C295" i="1"/>
  <c r="J133" i="1"/>
  <c r="J134" i="1"/>
  <c r="C235" i="1"/>
  <c r="J90" i="1"/>
  <c r="J89" i="1"/>
  <c r="C102" i="1" l="1"/>
  <c r="I49" i="1"/>
  <c r="H49" i="1"/>
  <c r="I47" i="1"/>
  <c r="H47" i="1"/>
  <c r="I46" i="1"/>
  <c r="H46" i="1"/>
  <c r="I45" i="1"/>
  <c r="I44" i="1"/>
  <c r="J44" i="1" s="1"/>
  <c r="J46" i="1" l="1"/>
  <c r="J49" i="1"/>
  <c r="J47" i="1"/>
  <c r="J45" i="1"/>
  <c r="I132" i="1"/>
  <c r="H132" i="1"/>
  <c r="H240" i="1"/>
  <c r="I240" i="1"/>
  <c r="I239" i="1"/>
  <c r="H239" i="1"/>
  <c r="H161" i="1"/>
  <c r="I121" i="1"/>
  <c r="I120" i="1"/>
  <c r="H121" i="1"/>
  <c r="H120" i="1"/>
  <c r="H259" i="1"/>
  <c r="I259" i="1"/>
  <c r="H260" i="1"/>
  <c r="I260" i="1"/>
  <c r="I258" i="1"/>
  <c r="H258" i="1"/>
  <c r="I10" i="1"/>
  <c r="I156" i="1"/>
  <c r="I226" i="1"/>
  <c r="I215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I151" i="1"/>
  <c r="H151" i="1"/>
  <c r="I150" i="1"/>
  <c r="H150" i="1"/>
  <c r="I149" i="1"/>
  <c r="H149" i="1"/>
  <c r="I147" i="1"/>
  <c r="H147" i="1"/>
  <c r="I146" i="1"/>
  <c r="H146" i="1"/>
  <c r="C50" i="1" l="1"/>
  <c r="H175" i="1"/>
  <c r="I175" i="1"/>
  <c r="H170" i="1"/>
  <c r="I170" i="1"/>
  <c r="I169" i="1"/>
  <c r="H169" i="1"/>
  <c r="J132" i="1"/>
  <c r="J259" i="1"/>
  <c r="J156" i="1"/>
  <c r="I161" i="1"/>
  <c r="J161" i="1" s="1"/>
  <c r="I158" i="1"/>
  <c r="J158" i="1" s="1"/>
  <c r="I160" i="1"/>
  <c r="J160" i="1" s="1"/>
  <c r="I157" i="1"/>
  <c r="J157" i="1" s="1"/>
  <c r="J120" i="1"/>
  <c r="J258" i="1"/>
  <c r="J260" i="1"/>
  <c r="H10" i="1"/>
  <c r="J10" i="1" s="1"/>
  <c r="H12" i="1"/>
  <c r="J12" i="1" s="1"/>
  <c r="H11" i="1"/>
  <c r="J11" i="1" s="1"/>
  <c r="H13" i="1"/>
  <c r="J13" i="1" s="1"/>
  <c r="J240" i="1"/>
  <c r="J239" i="1"/>
  <c r="H208" i="1"/>
  <c r="J208" i="1" s="1"/>
  <c r="H206" i="1"/>
  <c r="J206" i="1" s="1"/>
  <c r="H226" i="1"/>
  <c r="J226" i="1" s="1"/>
  <c r="H210" i="1"/>
  <c r="J210" i="1" s="1"/>
  <c r="H200" i="1"/>
  <c r="J200" i="1" s="1"/>
  <c r="H204" i="1"/>
  <c r="J204" i="1" s="1"/>
  <c r="H198" i="1"/>
  <c r="J198" i="1" s="1"/>
  <c r="H202" i="1"/>
  <c r="J202" i="1" s="1"/>
  <c r="H197" i="1"/>
  <c r="J197" i="1" s="1"/>
  <c r="H199" i="1"/>
  <c r="J199" i="1" s="1"/>
  <c r="H201" i="1"/>
  <c r="J201" i="1" s="1"/>
  <c r="H203" i="1"/>
  <c r="J203" i="1" s="1"/>
  <c r="H205" i="1"/>
  <c r="J205" i="1" s="1"/>
  <c r="H207" i="1"/>
  <c r="J207" i="1" s="1"/>
  <c r="H209" i="1"/>
  <c r="J209" i="1" s="1"/>
  <c r="H211" i="1"/>
  <c r="J211" i="1" s="1"/>
  <c r="H215" i="1"/>
  <c r="J215" i="1" s="1"/>
  <c r="J183" i="1"/>
  <c r="J184" i="1"/>
  <c r="J188" i="1"/>
  <c r="J150" i="1"/>
  <c r="J189" i="1"/>
  <c r="J146" i="1"/>
  <c r="J185" i="1"/>
  <c r="J151" i="1"/>
  <c r="J187" i="1"/>
  <c r="J190" i="1"/>
  <c r="J186" i="1"/>
  <c r="J149" i="1"/>
  <c r="J147" i="1"/>
  <c r="C152" i="1" l="1"/>
  <c r="C193" i="1"/>
  <c r="C281" i="1"/>
  <c r="C162" i="1"/>
  <c r="C241" i="1"/>
  <c r="C135" i="1"/>
  <c r="C136" i="1" s="1"/>
  <c r="J175" i="1"/>
  <c r="J169" i="1"/>
  <c r="J170" i="1"/>
  <c r="J121" i="1" l="1"/>
  <c r="C122" i="1" s="1"/>
  <c r="I113" i="1" l="1"/>
  <c r="H139" i="1"/>
  <c r="H140" i="1"/>
  <c r="H141" i="1"/>
  <c r="I140" i="1" l="1"/>
  <c r="J140" i="1" s="1"/>
  <c r="H113" i="1"/>
  <c r="J113" i="1" s="1"/>
  <c r="I141" i="1"/>
  <c r="J141" i="1" s="1"/>
  <c r="I139" i="1"/>
  <c r="J139" i="1" s="1"/>
  <c r="I299" i="1"/>
  <c r="I253" i="1"/>
  <c r="C40" i="1" l="1"/>
  <c r="I213" i="1"/>
  <c r="H213" i="1"/>
  <c r="J299" i="1"/>
  <c r="H253" i="1"/>
  <c r="J253" i="1" s="1"/>
  <c r="C254" i="1" s="1"/>
  <c r="C303" i="1" l="1"/>
  <c r="J213" i="1"/>
  <c r="I115" i="1"/>
  <c r="H115" i="1"/>
  <c r="I217" i="1"/>
  <c r="H217" i="1"/>
  <c r="I212" i="1"/>
  <c r="H212" i="1"/>
  <c r="I214" i="1"/>
  <c r="H214" i="1"/>
  <c r="H14" i="1"/>
  <c r="I14" i="1"/>
  <c r="I166" i="1"/>
  <c r="H166" i="1"/>
  <c r="J217" i="1" l="1"/>
  <c r="J115" i="1"/>
  <c r="J214" i="1"/>
  <c r="J212" i="1"/>
  <c r="H114" i="1"/>
  <c r="I114" i="1"/>
  <c r="I216" i="1"/>
  <c r="H216" i="1"/>
  <c r="I218" i="1"/>
  <c r="H218" i="1"/>
  <c r="J14" i="1"/>
  <c r="I245" i="1"/>
  <c r="C142" i="1"/>
  <c r="J166" i="1"/>
  <c r="C178" i="1" s="1"/>
  <c r="H245" i="1"/>
  <c r="I112" i="1"/>
  <c r="H112" i="1"/>
  <c r="H312" i="1" l="1"/>
  <c r="I312" i="1"/>
  <c r="C15" i="1"/>
  <c r="J216" i="1"/>
  <c r="J114" i="1"/>
  <c r="J218" i="1"/>
  <c r="J245" i="1"/>
  <c r="C249" i="1" s="1"/>
  <c r="J112" i="1"/>
  <c r="J312" i="1" l="1"/>
  <c r="C227" i="1"/>
  <c r="C116" i="1"/>
  <c r="E316" i="1" l="1"/>
  <c r="C86" i="1" l="1"/>
  <c r="C310" i="1"/>
  <c r="C242" i="1"/>
  <c r="C163" i="1"/>
  <c r="C123" i="1"/>
  <c r="E318" i="1"/>
  <c r="C41" i="1"/>
  <c r="C51" i="1"/>
  <c r="C16" i="1"/>
  <c r="C103" i="1"/>
  <c r="C109" i="1"/>
  <c r="C153" i="1"/>
  <c r="C282" i="1"/>
  <c r="C287" i="1"/>
  <c r="C296" i="1"/>
  <c r="C236" i="1"/>
  <c r="C194" i="1"/>
  <c r="C143" i="1"/>
  <c r="C228" i="1"/>
  <c r="C255" i="1"/>
  <c r="C179" i="1"/>
  <c r="C304" i="1"/>
  <c r="C117" i="1"/>
  <c r="C250" i="1"/>
</calcChain>
</file>

<file path=xl/sharedStrings.xml><?xml version="1.0" encoding="utf-8"?>
<sst xmlns="http://schemas.openxmlformats.org/spreadsheetml/2006/main" count="650" uniqueCount="300">
  <si>
    <t>Quant.</t>
  </si>
  <si>
    <t>Unid.</t>
  </si>
  <si>
    <t>Material</t>
  </si>
  <si>
    <t>Mão de obra</t>
  </si>
  <si>
    <t>Total</t>
  </si>
  <si>
    <t>Projeto Arquitetonico</t>
  </si>
  <si>
    <t>m²</t>
  </si>
  <si>
    <t>Projeto Estrutural</t>
  </si>
  <si>
    <t>vb</t>
  </si>
  <si>
    <t xml:space="preserve">Projeto de Instalacoes </t>
  </si>
  <si>
    <t>Projeto de Paisagismo</t>
  </si>
  <si>
    <t>Plotagem de projetos de Arquitetura</t>
  </si>
  <si>
    <t>Sub-Total:</t>
  </si>
  <si>
    <t>% :</t>
  </si>
  <si>
    <t>Canteiro de obra</t>
  </si>
  <si>
    <t>Locação de equipamentos diversos</t>
  </si>
  <si>
    <t>Locação de máquinas para usos diversos</t>
  </si>
  <si>
    <t>uni</t>
  </si>
  <si>
    <t>Estrutura Metalica</t>
  </si>
  <si>
    <t xml:space="preserve">Unid. </t>
  </si>
  <si>
    <t>Revestimentos</t>
  </si>
  <si>
    <t xml:space="preserve">Cunha + Espacador </t>
  </si>
  <si>
    <t>Painel em Laminado Freijó</t>
  </si>
  <si>
    <t>Painel em Ripado Freijó</t>
  </si>
  <si>
    <t>Revestimento Piscina/SPA/Prainha</t>
  </si>
  <si>
    <t>Impermeabilizações</t>
  </si>
  <si>
    <t xml:space="preserve">Impermeabilização rigida e semi rigida de área molhadas </t>
  </si>
  <si>
    <t>Impermeabilização de piscina - Rigida VIiaplus 1000/5000 c estruturação em tela de poliester</t>
  </si>
  <si>
    <t>Portas e esquadrias de aluminio/ madeira / ferragens / serralheria</t>
  </si>
  <si>
    <t xml:space="preserve">Esquadrias em alúminio / Brises/ Guarda Corpo / Clarabóias de acordo com o projeto </t>
  </si>
  <si>
    <t xml:space="preserve">Conjuntos de Box - e espelhos dos banho </t>
  </si>
  <si>
    <t>Puxadores especiais de box - via dupla cromada</t>
  </si>
  <si>
    <t>Conjunto fechadura/maçaneta/dobradica - Modelo la Fonte 515 + batedor cromado</t>
  </si>
  <si>
    <t xml:space="preserve">Instalações Elétrica </t>
  </si>
  <si>
    <t xml:space="preserve">Eletrodutos </t>
  </si>
  <si>
    <t xml:space="preserve">Cabos </t>
  </si>
  <si>
    <t>Acabamento Eletrico (Tomadas/Espelhos)</t>
  </si>
  <si>
    <t xml:space="preserve">Luminarias </t>
  </si>
  <si>
    <t xml:space="preserve">Instalações Hidraulicas </t>
  </si>
  <si>
    <t>Tubulacao Cobre</t>
  </si>
  <si>
    <t>Tubulacao Aguas Pluvias</t>
  </si>
  <si>
    <t>Casa de Maquinas Piscina (Bombas/Iluminacao/Pressurizador/etc)</t>
  </si>
  <si>
    <t>Bancadas e acessórios de granito</t>
  </si>
  <si>
    <t xml:space="preserve">Conjuntos de Bancadas  - Granito </t>
  </si>
  <si>
    <t>cj proj</t>
  </si>
  <si>
    <t>Louças e metais</t>
  </si>
  <si>
    <t>unid</t>
  </si>
  <si>
    <t xml:space="preserve">Flexivel Metálico </t>
  </si>
  <si>
    <t>Forros</t>
  </si>
  <si>
    <t>Pintura</t>
  </si>
  <si>
    <t xml:space="preserve">Pintura interna  (látex acrílico) ( selador, massa e pintura) </t>
  </si>
  <si>
    <t>Pintura interna forro de gesso</t>
  </si>
  <si>
    <t>Marcenaria</t>
  </si>
  <si>
    <t>Eletrodomesticos</t>
  </si>
  <si>
    <t>Paisagismo</t>
  </si>
  <si>
    <t>Instalacao Grama</t>
  </si>
  <si>
    <t>Alambrado de 4mts de Altura com redes de protecao acima</t>
  </si>
  <si>
    <t>Despesas indiretas</t>
  </si>
  <si>
    <t>mês</t>
  </si>
  <si>
    <t>Sub-Total - MDO indireta</t>
  </si>
  <si>
    <t>Gerenciamento técnico e administrativo</t>
  </si>
  <si>
    <t>Taxa de administração e gerenciamento técnico (Apenas MDO) - PROJETO PROPRIO</t>
  </si>
  <si>
    <t>Total (Final)</t>
  </si>
  <si>
    <t>Custo / m2</t>
  </si>
  <si>
    <t>Lajes</t>
  </si>
  <si>
    <t>Muros de arrimo</t>
  </si>
  <si>
    <t xml:space="preserve">Fundacao </t>
  </si>
  <si>
    <t xml:space="preserve">Armaduras de aco - Estacas / Baldrame </t>
  </si>
  <si>
    <t>Execucao Formas - Baldrame / Pilaretes</t>
  </si>
  <si>
    <t>Impermeabilizacao - Viaplus 1000/7000/manta liquida</t>
  </si>
  <si>
    <t>Cimento</t>
  </si>
  <si>
    <t>Areia Grossa</t>
  </si>
  <si>
    <t>Pedrisco</t>
  </si>
  <si>
    <t>Pedra - N.2</t>
  </si>
  <si>
    <t>Blocos de ceramica (vedacao) / Canaletas /Meio Bloco</t>
  </si>
  <si>
    <t>sc</t>
  </si>
  <si>
    <t>m3</t>
  </si>
  <si>
    <t>Execucao Estrutura Metalica (Incluso Material e Mao de obra)</t>
  </si>
  <si>
    <t>Armadura de aco 10 mm alvenaria e tela de aco para reboco</t>
  </si>
  <si>
    <t>Aditivo / lona plastica</t>
  </si>
  <si>
    <t>Armadura de aco para estrutura da laje</t>
  </si>
  <si>
    <t>kg</t>
  </si>
  <si>
    <t>Malha 10x10 Q92 4.2 mm (3x2)- contrapiso</t>
  </si>
  <si>
    <t>Blocos de Concreto - Muro vizinho, contencao e Piscina</t>
  </si>
  <si>
    <t>Mão de obra de execução das instalações Hidraulica (Incluso MDO GERAL)</t>
  </si>
  <si>
    <t>Sistema de aquecimento para residencia com placas solares e apoio a gas</t>
  </si>
  <si>
    <t>Nivelamento Terreno</t>
  </si>
  <si>
    <t xml:space="preserve">Preparacao com Lona Plastica </t>
  </si>
  <si>
    <t>Brita corrida</t>
  </si>
  <si>
    <t xml:space="preserve">Caixas D`agua 1000L </t>
  </si>
  <si>
    <t>Sistema de aquecimento Piscina com Trocador de Calor</t>
  </si>
  <si>
    <t>Mão de obra de execução das instalações Elétricas (INCLUSO MDO GERAL)</t>
  </si>
  <si>
    <t>Pintura das portas (Finalizacao)</t>
  </si>
  <si>
    <t>Mao de Obra de Execucao e Compra das plantas</t>
  </si>
  <si>
    <t>m2</t>
  </si>
  <si>
    <t>Sistema de calhas para a residencia</t>
  </si>
  <si>
    <t>Piso Madeira Deck</t>
  </si>
  <si>
    <t>Pastilhas modelo decortiles cor turquesa</t>
  </si>
  <si>
    <t>Bordas Pedra Modelo X</t>
  </si>
  <si>
    <t>m.L</t>
  </si>
  <si>
    <t xml:space="preserve">Chuveiro Elétrico Eletrônico Quadrado Acqua Duo Ultra Lorenzetti 220V </t>
  </si>
  <si>
    <t xml:space="preserve">Ralo Simples de Banheiro Aço Inox Quadrado Equation Cor: Cromado </t>
  </si>
  <si>
    <t xml:space="preserve">Churrasqueira Parrilla de Embutir Inox 304 + Braseiro com Proteção Térmica </t>
  </si>
  <si>
    <t xml:space="preserve">Cuba para Cozinha Deca 50 | Wish Cor: Inox </t>
  </si>
  <si>
    <t>Cuba de embutir Tramontina Luna 30 BL em Aço Inox Polido Ø30 cmCor: Inox</t>
  </si>
  <si>
    <t>Kit Completo Deca Bacia  com Caixa Acoplada | Vogue Plus Cor: Branco (Com kit e anel de instalacao)</t>
  </si>
  <si>
    <t>Tanque Lavanderia com Valvúla 201 Tubrax Cor: Aço Inox</t>
  </si>
  <si>
    <t xml:space="preserve">Torneira de Parede para Lavatório com Chapa Deca | Polo </t>
  </si>
  <si>
    <t xml:space="preserve">Ducha Higiênica com Registro e Derivação Deca | Link Cor: Cromado </t>
  </si>
  <si>
    <t xml:space="preserve">Cuba Dupla para Cozinha Deca | Wish Cor: Inox </t>
  </si>
  <si>
    <t>Misturador Monocomando de Mesa para Cozinha Deca | Colore Cor: Cromado e Preto</t>
  </si>
  <si>
    <t>Cuba Quadrada de Sobrepor 40cm Branco</t>
  </si>
  <si>
    <t>Cuba Redonda de Sobrepor 40cm Branco Slim</t>
  </si>
  <si>
    <t xml:space="preserve">Misturador de Mesa Bica Alta para Lavatório Deca | Polo Cor: Cromado </t>
  </si>
  <si>
    <t>Torneira De Mesa Bica Baixa Para Lavatório Unic Black Matte Unic</t>
  </si>
  <si>
    <t>Chuveiro Com Desviador E Ducha Manual Chuveiro Quadrado Black Matte</t>
  </si>
  <si>
    <t>Chuveiro de Parede com Tubo Deca | Cubo Cor: Cromado</t>
  </si>
  <si>
    <t>Banheira com degrau deca / cor: branco fosco</t>
  </si>
  <si>
    <t>Torneira Monocomando Misturador Curva para Banheira de Imersão Piso</t>
  </si>
  <si>
    <t xml:space="preserve">Ralo Grelha Linear Anti Insetos em Alumínio com Aro de Fixação Caixilhos Elite </t>
  </si>
  <si>
    <t xml:space="preserve">Torneira para Jardim e Tanque com Adaptador de Mangueira Deca | Max </t>
  </si>
  <si>
    <t>Pintura Verniz no forro de madeira</t>
  </si>
  <si>
    <t xml:space="preserve">AR CONDICIONADO </t>
  </si>
  <si>
    <t xml:space="preserve">Projeto e Infra Instalacao ar condicionado </t>
  </si>
  <si>
    <t xml:space="preserve">Instalacao aparelhos ar condicionado </t>
  </si>
  <si>
    <t xml:space="preserve">Valvula de escoamento cozinha </t>
  </si>
  <si>
    <t>Portao automatico entrada</t>
  </si>
  <si>
    <t>Impermeabilização cobertura casa com manta asfaltica e proteção mecânica</t>
  </si>
  <si>
    <t xml:space="preserve">Chopeira Completa 220V + Pré-Resfriador Arpa 55L/h Cor: Inox </t>
  </si>
  <si>
    <t>Lava-louças Electrolux 8 Serviços com Funçao Higienizar Ceor:vIenjeoixra 96L</t>
  </si>
  <si>
    <t>Cervejeira multi drinks com painel digital electrolux</t>
  </si>
  <si>
    <t>Alexa Geracao tela inteligente</t>
  </si>
  <si>
    <t xml:space="preserve">Churrasqueira a Gás 6 Queimadores Gelb Kuche Signature Americana Bafo de </t>
  </si>
  <si>
    <t>Forno de Pizza em Aço Escovado 17L 220V Cuisinart</t>
  </si>
  <si>
    <t>Geladeira Electrolux Frost Free Inverter 590L AutoSense 3 portas 127v</t>
  </si>
  <si>
    <t>Cooktop 4 Bocas de Indução Expert com Unicook e Timer 127V Electrolux</t>
  </si>
  <si>
    <t>Coifa de Ilha Pro Series com Painel Touch e Filtro Baffle 127V Electrolux Cor: Preto</t>
  </si>
  <si>
    <t>Forno de Embutir Elétrico 80L Efficient com PerfectCook360 220V Electrolux</t>
  </si>
  <si>
    <t>Isopor separacao 1000x500x30 mm</t>
  </si>
  <si>
    <t>6.1.1</t>
  </si>
  <si>
    <t>6.1.2</t>
  </si>
  <si>
    <t>7.1.1.</t>
  </si>
  <si>
    <t>7.1.2</t>
  </si>
  <si>
    <t>7.1.3</t>
  </si>
  <si>
    <t>7.1.4</t>
  </si>
  <si>
    <t xml:space="preserve">Escoramento da Laje </t>
  </si>
  <si>
    <t xml:space="preserve">Bica Corrida para contrapiso </t>
  </si>
  <si>
    <t xml:space="preserve">Concreto usinado para contrapiso / bomba </t>
  </si>
  <si>
    <t xml:space="preserve">Quadro Eletrico </t>
  </si>
  <si>
    <t>Argamassa - saco de 20 kg</t>
  </si>
  <si>
    <t>Rejunte - saco de 1 kg</t>
  </si>
  <si>
    <t>Argamassa e rejunte</t>
  </si>
  <si>
    <t>7.2.1</t>
  </si>
  <si>
    <t>7.2.3</t>
  </si>
  <si>
    <t>7.3.1</t>
  </si>
  <si>
    <t>7.3.2</t>
  </si>
  <si>
    <t>7.4.1</t>
  </si>
  <si>
    <t>7.4.2</t>
  </si>
  <si>
    <t>7.4.3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</si>
  <si>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</si>
  <si>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</si>
  <si>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</si>
  <si>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</si>
  <si>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</si>
  <si>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</si>
  <si>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</si>
  <si>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</si>
  <si>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</si>
  <si>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4.1.1</t>
  </si>
  <si>
    <t>4.1.2</t>
  </si>
  <si>
    <t>4.1.3</t>
  </si>
  <si>
    <t>4.1.4</t>
  </si>
  <si>
    <t>4.1.5</t>
  </si>
  <si>
    <t>Execução de tapume padrão do condomínio - Comodato (considerado perímetro completo)</t>
  </si>
  <si>
    <t>Refeitório/vestiario/escritório/almoxarife - conforme ministerio do trabalho</t>
  </si>
  <si>
    <t>Topografia - Locação de eixos, estacas e níveis</t>
  </si>
  <si>
    <t>Limpeza do terreno  - Platô e acesso</t>
  </si>
  <si>
    <t>Terraplanagem - Corte</t>
  </si>
  <si>
    <t>Terraplanagem - Aterro</t>
  </si>
  <si>
    <t>Terraplanagem - Bota fora de terra excedente</t>
  </si>
  <si>
    <t>Controle tecnológico - Terraplanagem</t>
  </si>
  <si>
    <t>Controle tecnológico - Concreto</t>
  </si>
  <si>
    <t>Ligação luz - Inicial e provisória</t>
  </si>
  <si>
    <t>Ligação água - Inicial e provisória</t>
  </si>
  <si>
    <t>Ligação de esgoto - Inicial e provisória</t>
  </si>
  <si>
    <t>Ligação de agua e energia - Definitiva (Adotado até C6)</t>
  </si>
  <si>
    <t>Ligação de Aguas Pluviais Ramal de saída - Definitiva</t>
  </si>
  <si>
    <t>Consumo de Água e Energia - Período de obra</t>
  </si>
  <si>
    <t xml:space="preserve">Seguro de obra </t>
  </si>
  <si>
    <t>m³</t>
  </si>
  <si>
    <t>Perfuracao das Estacas - Escavação, (estim. 12,00 metros de prof.) D=25cm</t>
  </si>
  <si>
    <t>Concreto Usinado fck 30 - Estacas / Baldrame</t>
  </si>
  <si>
    <t>Espassadores, arames e protetores de vergalhões</t>
  </si>
  <si>
    <t>Laje protendida de piso e cobertura - Vigota + Lajota</t>
  </si>
  <si>
    <t>Armaduras de aço - Lajes</t>
  </si>
  <si>
    <t>Telas Q92 com sobreposição de 15cm</t>
  </si>
  <si>
    <t>Concretagem de lajes</t>
  </si>
  <si>
    <t>Cimbramento Metálico</t>
  </si>
  <si>
    <t xml:space="preserve">Acabamento de regularização da lajes </t>
  </si>
  <si>
    <t>Coberturas (Valor estimados por falta de projeto específico)</t>
  </si>
  <si>
    <t>Fundação - Estacas Hélice continua (estim. 12,00 metros de prof.) D=25cm</t>
  </si>
  <si>
    <t>Concreto fundição de estacas (sobreconsumo estimado 45%) - Adotado FCK20</t>
  </si>
  <si>
    <t>Arrasamento de estacas</t>
  </si>
  <si>
    <t>Execução de formas - Blocos / Baldrames / Vigas / Pilares</t>
  </si>
  <si>
    <t>Concretagem de intens estruturais - Estacas / Blocos / Baldrames / Vigas / Pilares</t>
  </si>
  <si>
    <t>Armaduras de Aço - Fundação raza/estrutura/contenções (Taxa estimada por falta de detalhamento de aço)</t>
  </si>
  <si>
    <t>Alvenaria com blocos de concreto estrutural</t>
  </si>
  <si>
    <t>Argamassa de assentamento</t>
  </si>
  <si>
    <t>Chapisco massa única em paredes - interno externo</t>
  </si>
  <si>
    <t>Impermeabilização posterior com manta asfaltica e proteção mecânica</t>
  </si>
  <si>
    <t xml:space="preserve">Regularização Posterior e manta geotêxtil </t>
  </si>
  <si>
    <t xml:space="preserve">Tubo geotêxtil e camisa para drenagem </t>
  </si>
  <si>
    <t>Impermeabilização de supercifie da parede</t>
  </si>
  <si>
    <t xml:space="preserve">Contrapiso </t>
  </si>
  <si>
    <t>Superestrutura</t>
  </si>
  <si>
    <t xml:space="preserve">Execução de formas - Lage </t>
  </si>
  <si>
    <t xml:space="preserve">Alvenaria </t>
  </si>
  <si>
    <t xml:space="preserve">Concreto Usinado </t>
  </si>
  <si>
    <t>concreto usinado fck x Mpa com bomba de apoio</t>
  </si>
  <si>
    <t>Tubulacao Agua Fria / Esgoto</t>
  </si>
  <si>
    <t>Tubulacao Agua Quente</t>
  </si>
  <si>
    <t>Gás</t>
  </si>
  <si>
    <t>Equipe de engenharia</t>
  </si>
  <si>
    <t>Equipe de compras</t>
  </si>
  <si>
    <t>Sinalizações de segurança</t>
  </si>
  <si>
    <t>Mobilização e desmobilização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</si>
  <si>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</si>
  <si>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</si>
  <si>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</si>
  <si>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</si>
  <si>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</si>
  <si>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</si>
  <si>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</si>
  <si>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</si>
  <si>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</si>
  <si>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</si>
  <si>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</si>
  <si>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</si>
  <si>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</si>
  <si>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</si>
  <si>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</si>
  <si>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</si>
  <si>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4.3.1</t>
  </si>
  <si>
    <t>4.3.2</t>
  </si>
  <si>
    <t>4.4.1</t>
  </si>
  <si>
    <t>4.4.2</t>
  </si>
  <si>
    <t>4.4.3</t>
  </si>
  <si>
    <t>Mao de obra de execucao  (Empreita)</t>
  </si>
  <si>
    <t>Itens extras ou excepcionais - Campo de Futebol</t>
  </si>
  <si>
    <t>Limpeza</t>
  </si>
  <si>
    <t xml:space="preserve">Limpeza Periodica </t>
  </si>
  <si>
    <t xml:space="preserve">Limpeza Final </t>
  </si>
  <si>
    <t>ORCAMENTO PREVISTO - PLANILHA DE CUSTOS</t>
  </si>
  <si>
    <t>DEPARTAMENTO MEDICO - DM VALINHOS HYPER</t>
  </si>
  <si>
    <t>Madeiras para Gabaritos</t>
  </si>
  <si>
    <t>Bota fora da camada vegetal e/ou Cacambas</t>
  </si>
  <si>
    <t>Areia Media / Fina / Lavada</t>
  </si>
  <si>
    <t>Piso Ceramica e Revestimento   0.30x0.40 (Piso e Revestimento)</t>
  </si>
  <si>
    <t>Porta de abrir madeira com guarnição - 80 cm e uma de correr</t>
  </si>
  <si>
    <t xml:space="preserve">Telhas fibrocimento e/ou galvanizadas </t>
  </si>
  <si>
    <t>Estrutura de cobertura em madeira (vigotas, etc)</t>
  </si>
  <si>
    <t>Execução de ramais e cavalete (ambiente zelador)</t>
  </si>
  <si>
    <t xml:space="preserve">Registros/Valvulas/Bomba de pressurizacao </t>
  </si>
  <si>
    <t>Bancada dupla banheiro masculino DM</t>
  </si>
  <si>
    <t>Banheiro Feminino</t>
  </si>
  <si>
    <t xml:space="preserve">Banheiro Zelador </t>
  </si>
  <si>
    <t>Bancada Pia do Zelador</t>
  </si>
  <si>
    <t>Bancada Pia Fisioterapia</t>
  </si>
  <si>
    <t>Bancada Copa Cozinha</t>
  </si>
  <si>
    <t>Bancada Lavanderia Tanque</t>
  </si>
  <si>
    <t>Bancada lavanderia Roupa Limpa</t>
  </si>
  <si>
    <t>Kit Completo Bacia com Caixa Acoplada e Mictorio| Flex / Cor: Branco</t>
  </si>
  <si>
    <t xml:space="preserve">Cuba de Apoio Quadrada 30cm | Slim </t>
  </si>
  <si>
    <t xml:space="preserve">Torneira Alta para Lavatório | Polo Cor: Cromado </t>
  </si>
  <si>
    <t xml:space="preserve">Misturador Monocomando de Mesa para Cozinha  | Level </t>
  </si>
  <si>
    <t xml:space="preserve">Sifão metálico para lavatório </t>
  </si>
  <si>
    <t xml:space="preserve">Sifão para pia  e tanque </t>
  </si>
  <si>
    <t xml:space="preserve">Valvula de escoamento com tampa metálica </t>
  </si>
  <si>
    <t>Aparelho Ar condicionado 24000 BTUs</t>
  </si>
  <si>
    <t>Aparelho Ar condicionado 12000 e 18 000 BTUs</t>
  </si>
  <si>
    <t>Forro em PVC com estrutura do forro</t>
  </si>
  <si>
    <t>Drywall divisorias</t>
  </si>
  <si>
    <t>Marcenaria Projeto e valor fechado (mao de obra e material) -armario sala medica, copa, fisioterapia</t>
  </si>
  <si>
    <t>Geladeira Frost Free 290 L</t>
  </si>
  <si>
    <t>Smart TV  - Zelador 40''</t>
  </si>
  <si>
    <t xml:space="preserve">Retro Projetor com painel - Sala Reuniao </t>
  </si>
  <si>
    <t>Lavadora e Secadora Elétrica Smart Lavanderia</t>
  </si>
  <si>
    <t xml:space="preserve">Microondas Embutir 30L 127V </t>
  </si>
  <si>
    <t>Maquina de Café para po grande Eletrica</t>
  </si>
  <si>
    <t>Mesa copa 4 cadeiras</t>
  </si>
  <si>
    <t xml:space="preserve">Cadeiras para sala de reuniao </t>
  </si>
  <si>
    <t xml:space="preserve">Poltronas </t>
  </si>
  <si>
    <t>Mesa escritorio para sala medica (2cadeiras simples + 1 cadeira escritorio)</t>
  </si>
  <si>
    <t xml:space="preserve">Maca (1.85x0.65 suporta 110 kg) </t>
  </si>
  <si>
    <t>Armario zelador com bancada de escritorio</t>
  </si>
  <si>
    <t>Fogao com forno + Depurador</t>
  </si>
  <si>
    <t>Piso fisioterapia - Piso Borracha</t>
  </si>
  <si>
    <t xml:space="preserve">Sala de reunioes e ambiente zelador </t>
  </si>
  <si>
    <t>Pisos</t>
  </si>
  <si>
    <t>M2 Reforma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</si>
</sst>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&quot;R$&quot;\ #,##0.00"/>
    <numFmt numFmtId="165" formatCode="_-&quot;R$&quot;\ * #,##0.00_-;\-&quot;R$&quot;\ * #,##0.00_-;_-&quot;R$&quot;\ * &quot;-&quot;??_-;_-@"/>
    <numFmt numFmtId="166" formatCode="_(&quot;R$ &quot;* #,##0.00_);_(&quot;R$ &quot;* \(#,##0.00\);_(&quot;R$ &quot;* &quot;-&quot;??_);_(@_)"/>
    <numFmt numFmtId="167" formatCode="0.0000%"/>
    <numFmt numFmtId="168" formatCode="_-* #,##0.00_-;\-* #,##0.00_-;_-* &quot;-&quot;??_-;_-@"/>
    <numFmt numFmtId="169" formatCode="_-&quot;R$&quot;\ * #,##0.00_-;\-&quot;R$&quot;\ * #,##0.00_-;_-&quot;R$&quot;\ * &quot;-&quot;??_-;_-@_-"/>
    <numFmt numFmtId="170" formatCode="_-* #,##0.00_-;\-* #,##0.00_-;_-* &quot;-&quot;??_-;_-@_-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8"/>
      <color rgb="FFFF0000"/>
      <name val="Arial"/>
      <family val="2"/>
    </font>
    <font>
      <sz val="11"/>
      <color rgb="FFFF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4" tint="-0.249977111117893"/>
        <bgColor rgb="FFDEEAF6"/>
      </patternFill>
    </fill>
    <fill>
      <patternFill patternType="solid">
        <fgColor theme="4" tint="-0.249977111117893"/>
        <bgColor rgb="FF333F4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0" fontId="3" fillId="0" borderId="21"/>
    <xf numFmtId="0" fontId="1" fillId="0" borderId="21"/>
    <xf numFmtId="170" fontId="1" fillId="0" borderId="21" applyFont="0" applyFill="0" applyBorder="0" applyAlignment="0" applyProtection="0"/>
    <xf numFmtId="169" fontId="1" fillId="0" borderId="21" applyFont="0" applyFill="0" applyBorder="0" applyAlignment="0" applyProtection="0"/>
    <xf numFmtId="166" fontId="14" fillId="0" borderId="21" applyFont="0" applyFill="0" applyBorder="0" applyAlignment="0" applyProtection="0"/>
    <xf numFmtId="0" fontId="14" fillId="0" borderId="21"/>
    <xf numFmtId="0" fontId="14" fillId="0" borderId="21"/>
    <xf numFmtId="166" fontId="14" fillId="0" borderId="21" applyFont="0" applyFill="0" applyBorder="0" applyAlignment="0" applyProtection="0"/>
    <xf numFmtId="0" fontId="14" fillId="0" borderId="21"/>
    <xf numFmtId="166" fontId="14" fillId="0" borderId="21" applyFont="0" applyFill="0" applyBorder="0" applyAlignment="0" applyProtection="0"/>
    <xf numFmtId="9" fontId="1" fillId="0" borderId="21" applyFont="0" applyFill="0" applyBorder="0" applyAlignment="0" applyProtection="0"/>
    <xf numFmtId="170" fontId="1" fillId="0" borderId="21" applyFont="0" applyFill="0" applyBorder="0" applyAlignment="0" applyProtection="0"/>
    <xf numFmtId="169" fontId="1" fillId="0" borderId="21" applyFont="0" applyFill="0" applyBorder="0" applyAlignment="0" applyProtection="0"/>
    <xf numFmtId="169" fontId="1" fillId="0" borderId="21" applyFont="0" applyFill="0" applyBorder="0" applyAlignment="0" applyProtection="0"/>
  </cellStyleXfs>
  <cellXfs count="288">
    <xf numFmtId="0" fontId="0" fillId="0" borderId="0" xfId="0"/>
    <xf numFmtId="165" fontId="4" fillId="0" borderId="0" xfId="0" applyNumberFormat="1" applyFont="1" applyAlignment="1">
      <alignment vertical="center"/>
    </xf>
    <xf numFmtId="0" fontId="4" fillId="0" borderId="0" xfId="0" applyFont="1"/>
    <xf numFmtId="165" fontId="4" fillId="0" borderId="1" xfId="0" applyNumberFormat="1" applyFont="1" applyBorder="1" applyAlignment="1">
      <alignment vertical="center"/>
    </xf>
    <xf numFmtId="0" fontId="4" fillId="2" borderId="2" xfId="0" applyFont="1" applyFill="1" applyBorder="1"/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vertical="center"/>
    </xf>
    <xf numFmtId="2" fontId="4" fillId="4" borderId="5" xfId="0" applyNumberFormat="1" applyFont="1" applyFill="1" applyBorder="1" applyAlignment="1">
      <alignment horizontal="center"/>
    </xf>
    <xf numFmtId="165" fontId="4" fillId="4" borderId="5" xfId="0" applyNumberFormat="1" applyFont="1" applyFill="1" applyBorder="1" applyAlignment="1">
      <alignment vertical="center"/>
    </xf>
    <xf numFmtId="165" fontId="4" fillId="4" borderId="5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vertical="center"/>
    </xf>
    <xf numFmtId="165" fontId="5" fillId="0" borderId="0" xfId="0" applyNumberFormat="1" applyFont="1" applyAlignment="1">
      <alignment vertical="center"/>
    </xf>
    <xf numFmtId="0" fontId="4" fillId="4" borderId="5" xfId="0" applyFont="1" applyFill="1" applyBorder="1" applyAlignment="1">
      <alignment vertical="center"/>
    </xf>
    <xf numFmtId="2" fontId="4" fillId="4" borderId="5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166" fontId="4" fillId="4" borderId="5" xfId="0" applyNumberFormat="1" applyFont="1" applyFill="1" applyBorder="1"/>
    <xf numFmtId="166" fontId="4" fillId="4" borderId="5" xfId="0" applyNumberFormat="1" applyFont="1" applyFill="1" applyBorder="1" applyAlignment="1">
      <alignment horizontal="center" vertical="center"/>
    </xf>
    <xf numFmtId="166" fontId="4" fillId="4" borderId="6" xfId="0" applyNumberFormat="1" applyFont="1" applyFill="1" applyBorder="1"/>
    <xf numFmtId="165" fontId="4" fillId="4" borderId="6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left" vertical="center"/>
    </xf>
    <xf numFmtId="165" fontId="7" fillId="0" borderId="12" xfId="0" applyNumberFormat="1" applyFont="1" applyBorder="1" applyAlignment="1">
      <alignment horizontal="left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5" fontId="6" fillId="6" borderId="10" xfId="0" applyNumberFormat="1" applyFont="1" applyFill="1" applyBorder="1" applyAlignment="1">
      <alignment horizontal="center" vertical="center"/>
    </xf>
    <xf numFmtId="164" fontId="6" fillId="6" borderId="10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2" fontId="4" fillId="3" borderId="13" xfId="0" applyNumberFormat="1" applyFont="1" applyFill="1" applyBorder="1" applyAlignment="1">
      <alignment horizontal="center" vertical="center"/>
    </xf>
    <xf numFmtId="165" fontId="4" fillId="3" borderId="13" xfId="0" applyNumberFormat="1" applyFont="1" applyFill="1" applyBorder="1" applyAlignment="1">
      <alignment vertical="center"/>
    </xf>
    <xf numFmtId="0" fontId="4" fillId="3" borderId="14" xfId="0" applyFont="1" applyFill="1" applyBorder="1"/>
    <xf numFmtId="2" fontId="9" fillId="8" borderId="7" xfId="0" applyNumberFormat="1" applyFont="1" applyFill="1" applyBorder="1" applyAlignment="1">
      <alignment vertical="center"/>
    </xf>
    <xf numFmtId="164" fontId="7" fillId="9" borderId="10" xfId="0" applyNumberFormat="1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165" fontId="7" fillId="9" borderId="10" xfId="0" applyNumberFormat="1" applyFont="1" applyFill="1" applyBorder="1" applyAlignment="1">
      <alignment horizontal="center" vertical="center"/>
    </xf>
    <xf numFmtId="0" fontId="4" fillId="2" borderId="21" xfId="0" applyFont="1" applyFill="1" applyBorder="1"/>
    <xf numFmtId="165" fontId="5" fillId="2" borderId="21" xfId="0" applyNumberFormat="1" applyFont="1" applyFill="1" applyBorder="1"/>
    <xf numFmtId="0" fontId="5" fillId="0" borderId="15" xfId="0" applyFont="1" applyBorder="1" applyAlignment="1">
      <alignment horizontal="center" vertical="center"/>
    </xf>
    <xf numFmtId="10" fontId="5" fillId="0" borderId="21" xfId="0" applyNumberFormat="1" applyFont="1" applyBorder="1" applyAlignment="1">
      <alignment vertical="center"/>
    </xf>
    <xf numFmtId="2" fontId="4" fillId="0" borderId="21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horizontal="center" vertical="center"/>
    </xf>
    <xf numFmtId="165" fontId="5" fillId="0" borderId="21" xfId="0" applyNumberFormat="1" applyFont="1" applyBorder="1" applyAlignment="1">
      <alignment vertical="center"/>
    </xf>
    <xf numFmtId="165" fontId="4" fillId="0" borderId="21" xfId="0" applyNumberFormat="1" applyFont="1" applyBorder="1" applyAlignment="1">
      <alignment vertical="center"/>
    </xf>
    <xf numFmtId="166" fontId="4" fillId="0" borderId="3" xfId="0" applyNumberFormat="1" applyFont="1" applyBorder="1"/>
    <xf numFmtId="0" fontId="4" fillId="3" borderId="21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vertical="center"/>
    </xf>
    <xf numFmtId="2" fontId="4" fillId="2" borderId="21" xfId="0" applyNumberFormat="1" applyFont="1" applyFill="1" applyBorder="1" applyAlignment="1">
      <alignment horizontal="center" vertical="center"/>
    </xf>
    <xf numFmtId="165" fontId="4" fillId="2" borderId="21" xfId="0" applyNumberFormat="1" applyFont="1" applyFill="1" applyBorder="1" applyAlignment="1">
      <alignment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2" fontId="4" fillId="3" borderId="21" xfId="0" applyNumberFormat="1" applyFont="1" applyFill="1" applyBorder="1" applyAlignment="1">
      <alignment horizontal="center" vertical="center"/>
    </xf>
    <xf numFmtId="165" fontId="4" fillId="3" borderId="21" xfId="0" applyNumberFormat="1" applyFont="1" applyFill="1" applyBorder="1" applyAlignment="1">
      <alignment vertical="center"/>
    </xf>
    <xf numFmtId="0" fontId="4" fillId="2" borderId="3" xfId="0" applyFont="1" applyFill="1" applyBorder="1"/>
    <xf numFmtId="166" fontId="4" fillId="3" borderId="21" xfId="0" applyNumberFormat="1" applyFont="1" applyFill="1" applyBorder="1" applyAlignment="1">
      <alignment vertical="center"/>
    </xf>
    <xf numFmtId="165" fontId="4" fillId="3" borderId="21" xfId="0" applyNumberFormat="1" applyFont="1" applyFill="1" applyBorder="1" applyAlignment="1">
      <alignment horizontal="center" vertical="center"/>
    </xf>
    <xf numFmtId="0" fontId="4" fillId="3" borderId="21" xfId="0" applyFont="1" applyFill="1" applyBorder="1"/>
    <xf numFmtId="0" fontId="7" fillId="0" borderId="15" xfId="0" applyFont="1" applyBorder="1" applyAlignment="1">
      <alignment horizontal="center"/>
    </xf>
    <xf numFmtId="0" fontId="7" fillId="9" borderId="15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vertical="center"/>
    </xf>
    <xf numFmtId="2" fontId="7" fillId="9" borderId="21" xfId="0" applyNumberFormat="1" applyFont="1" applyFill="1" applyBorder="1" applyAlignment="1">
      <alignment horizontal="center" vertical="center"/>
    </xf>
    <xf numFmtId="165" fontId="7" fillId="9" borderId="21" xfId="0" applyNumberFormat="1" applyFont="1" applyFill="1" applyBorder="1" applyAlignment="1">
      <alignment horizontal="center" vertical="center"/>
    </xf>
    <xf numFmtId="165" fontId="7" fillId="9" borderId="3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66" fontId="5" fillId="3" borderId="21" xfId="0" applyNumberFormat="1" applyFont="1" applyFill="1" applyBorder="1" applyAlignment="1">
      <alignment vertical="center"/>
    </xf>
    <xf numFmtId="165" fontId="5" fillId="3" borderId="21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167" fontId="5" fillId="5" borderId="21" xfId="0" applyNumberFormat="1" applyFont="1" applyFill="1" applyBorder="1" applyAlignment="1">
      <alignment vertical="center"/>
    </xf>
    <xf numFmtId="166" fontId="4" fillId="2" borderId="21" xfId="0" applyNumberFormat="1" applyFont="1" applyFill="1" applyBorder="1" applyAlignment="1">
      <alignment horizontal="center" vertical="center"/>
    </xf>
    <xf numFmtId="165" fontId="5" fillId="2" borderId="21" xfId="0" applyNumberFormat="1" applyFont="1" applyFill="1" applyBorder="1" applyAlignment="1">
      <alignment vertical="center"/>
    </xf>
    <xf numFmtId="166" fontId="4" fillId="3" borderId="21" xfId="0" applyNumberFormat="1" applyFont="1" applyFill="1" applyBorder="1" applyAlignment="1">
      <alignment horizontal="center" vertical="center"/>
    </xf>
    <xf numFmtId="164" fontId="4" fillId="3" borderId="21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vertical="center"/>
    </xf>
    <xf numFmtId="10" fontId="5" fillId="5" borderId="21" xfId="0" applyNumberFormat="1" applyFont="1" applyFill="1" applyBorder="1" applyAlignment="1">
      <alignment vertical="center"/>
    </xf>
    <xf numFmtId="164" fontId="4" fillId="2" borderId="21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49" fontId="7" fillId="8" borderId="5" xfId="0" applyNumberFormat="1" applyFont="1" applyFill="1" applyBorder="1" applyAlignment="1">
      <alignment vertical="center"/>
    </xf>
    <xf numFmtId="2" fontId="9" fillId="8" borderId="8" xfId="0" applyNumberFormat="1" applyFont="1" applyFill="1" applyBorder="1" applyAlignment="1">
      <alignment vertical="center"/>
    </xf>
    <xf numFmtId="2" fontId="9" fillId="8" borderId="9" xfId="0" applyNumberFormat="1" applyFont="1" applyFill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166" fontId="4" fillId="2" borderId="3" xfId="0" applyNumberFormat="1" applyFont="1" applyFill="1" applyBorder="1"/>
    <xf numFmtId="0" fontId="4" fillId="3" borderId="3" xfId="0" applyFont="1" applyFill="1" applyBorder="1"/>
    <xf numFmtId="49" fontId="4" fillId="4" borderId="5" xfId="1" applyNumberFormat="1" applyFont="1" applyFill="1" applyBorder="1" applyAlignment="1">
      <alignment vertical="center"/>
    </xf>
    <xf numFmtId="164" fontId="4" fillId="3" borderId="21" xfId="0" applyNumberFormat="1" applyFont="1" applyFill="1" applyBorder="1" applyAlignment="1">
      <alignment vertical="center"/>
    </xf>
    <xf numFmtId="164" fontId="4" fillId="0" borderId="0" xfId="0" applyNumberFormat="1" applyFont="1"/>
    <xf numFmtId="165" fontId="4" fillId="3" borderId="21" xfId="0" applyNumberFormat="1" applyFont="1" applyFill="1" applyBorder="1"/>
    <xf numFmtId="164" fontId="4" fillId="2" borderId="3" xfId="0" applyNumberFormat="1" applyFont="1" applyFill="1" applyBorder="1"/>
    <xf numFmtId="2" fontId="4" fillId="3" borderId="21" xfId="0" applyNumberFormat="1" applyFont="1" applyFill="1" applyBorder="1" applyAlignment="1">
      <alignment horizontal="center"/>
    </xf>
    <xf numFmtId="166" fontId="4" fillId="3" borderId="3" xfId="0" applyNumberFormat="1" applyFont="1" applyFill="1" applyBorder="1"/>
    <xf numFmtId="0" fontId="4" fillId="3" borderId="15" xfId="0" applyFont="1" applyFill="1" applyBorder="1" applyAlignment="1">
      <alignment horizontal="center"/>
    </xf>
    <xf numFmtId="0" fontId="4" fillId="4" borderId="5" xfId="0" applyFont="1" applyFill="1" applyBorder="1"/>
    <xf numFmtId="0" fontId="5" fillId="4" borderId="5" xfId="0" applyFont="1" applyFill="1" applyBorder="1" applyAlignment="1">
      <alignment vertical="center"/>
    </xf>
    <xf numFmtId="43" fontId="4" fillId="4" borderId="5" xfId="0" applyNumberFormat="1" applyFont="1" applyFill="1" applyBorder="1" applyAlignment="1">
      <alignment vertical="center"/>
    </xf>
    <xf numFmtId="168" fontId="4" fillId="3" borderId="3" xfId="0" applyNumberFormat="1" applyFont="1" applyFill="1" applyBorder="1"/>
    <xf numFmtId="0" fontId="7" fillId="9" borderId="16" xfId="0" applyFont="1" applyFill="1" applyBorder="1" applyAlignment="1">
      <alignment horizontal="center" vertical="center"/>
    </xf>
    <xf numFmtId="165" fontId="7" fillId="9" borderId="12" xfId="0" applyNumberFormat="1" applyFont="1" applyFill="1" applyBorder="1" applyAlignment="1">
      <alignment horizontal="left" vertical="center"/>
    </xf>
    <xf numFmtId="165" fontId="7" fillId="9" borderId="12" xfId="0" applyNumberFormat="1" applyFont="1" applyFill="1" applyBorder="1" applyAlignment="1">
      <alignment vertical="center"/>
    </xf>
    <xf numFmtId="165" fontId="7" fillId="9" borderId="20" xfId="0" applyNumberFormat="1" applyFont="1" applyFill="1" applyBorder="1" applyAlignment="1">
      <alignment horizontal="left" vertical="center"/>
    </xf>
    <xf numFmtId="166" fontId="5" fillId="0" borderId="12" xfId="0" applyNumberFormat="1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166" fontId="5" fillId="2" borderId="21" xfId="0" applyNumberFormat="1" applyFont="1" applyFill="1" applyBorder="1" applyAlignment="1">
      <alignment vertical="center"/>
    </xf>
    <xf numFmtId="165" fontId="5" fillId="2" borderId="21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65" fontId="4" fillId="0" borderId="13" xfId="0" applyNumberFormat="1" applyFont="1" applyBorder="1" applyAlignment="1">
      <alignment vertical="center"/>
    </xf>
    <xf numFmtId="168" fontId="4" fillId="3" borderId="21" xfId="0" applyNumberFormat="1" applyFont="1" applyFill="1" applyBorder="1"/>
    <xf numFmtId="165" fontId="4" fillId="7" borderId="21" xfId="0" applyNumberFormat="1" applyFont="1" applyFill="1" applyBorder="1" applyAlignment="1">
      <alignment vertical="center"/>
    </xf>
    <xf numFmtId="167" fontId="4" fillId="0" borderId="21" xfId="0" applyNumberFormat="1" applyFont="1" applyBorder="1" applyAlignment="1">
      <alignment vertical="center"/>
    </xf>
    <xf numFmtId="0" fontId="9" fillId="0" borderId="0" xfId="0" applyFont="1" applyAlignment="1">
      <alignment horizontal="center"/>
    </xf>
    <xf numFmtId="0" fontId="11" fillId="0" borderId="0" xfId="0" applyFont="1"/>
    <xf numFmtId="0" fontId="12" fillId="4" borderId="5" xfId="0" applyFont="1" applyFill="1" applyBorder="1" applyAlignment="1">
      <alignment vertical="center"/>
    </xf>
    <xf numFmtId="2" fontId="10" fillId="4" borderId="5" xfId="0" applyNumberFormat="1" applyFont="1" applyFill="1" applyBorder="1" applyAlignment="1">
      <alignment horizontal="center" vertical="center"/>
    </xf>
    <xf numFmtId="0" fontId="2" fillId="0" borderId="0" xfId="0" applyFont="1"/>
    <xf numFmtId="165" fontId="10" fillId="4" borderId="5" xfId="0" applyNumberFormat="1" applyFont="1" applyFill="1" applyBorder="1" applyAlignment="1">
      <alignment vertical="center"/>
    </xf>
    <xf numFmtId="0" fontId="12" fillId="4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vertical="center" wrapText="1"/>
    </xf>
    <xf numFmtId="0" fontId="4" fillId="0" borderId="21" xfId="0" applyFont="1" applyBorder="1"/>
    <xf numFmtId="10" fontId="4" fillId="0" borderId="21" xfId="0" applyNumberFormat="1" applyFont="1" applyBorder="1" applyAlignment="1">
      <alignment vertical="center"/>
    </xf>
    <xf numFmtId="165" fontId="4" fillId="0" borderId="21" xfId="0" applyNumberFormat="1" applyFont="1" applyBorder="1"/>
    <xf numFmtId="166" fontId="10" fillId="4" borderId="5" xfId="0" applyNumberFormat="1" applyFont="1" applyFill="1" applyBorder="1"/>
    <xf numFmtId="0" fontId="4" fillId="4" borderId="5" xfId="0" applyFont="1" applyFill="1" applyBorder="1" applyAlignment="1">
      <alignment vertical="center" wrapText="1"/>
    </xf>
    <xf numFmtId="0" fontId="12" fillId="2" borderId="21" xfId="0" applyFont="1" applyFill="1" applyBorder="1"/>
    <xf numFmtId="2" fontId="12" fillId="4" borderId="5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165" fontId="12" fillId="4" borderId="5" xfId="0" applyNumberFormat="1" applyFont="1" applyFill="1" applyBorder="1" applyAlignment="1">
      <alignment horizontal="center" vertical="center"/>
    </xf>
    <xf numFmtId="165" fontId="13" fillId="2" borderId="21" xfId="0" applyNumberFormat="1" applyFont="1" applyFill="1" applyBorder="1"/>
    <xf numFmtId="0" fontId="12" fillId="0" borderId="0" xfId="0" applyFont="1"/>
    <xf numFmtId="165" fontId="12" fillId="4" borderId="5" xfId="0" applyNumberFormat="1" applyFont="1" applyFill="1" applyBorder="1" applyAlignment="1">
      <alignment vertical="center"/>
    </xf>
    <xf numFmtId="49" fontId="12" fillId="4" borderId="5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2" fontId="12" fillId="4" borderId="5" xfId="0" applyNumberFormat="1" applyFont="1" applyFill="1" applyBorder="1" applyAlignment="1">
      <alignment horizontal="center"/>
    </xf>
    <xf numFmtId="0" fontId="12" fillId="10" borderId="23" xfId="2" applyFont="1" applyFill="1" applyBorder="1" applyAlignment="1">
      <alignment vertical="center"/>
    </xf>
    <xf numFmtId="0" fontId="12" fillId="10" borderId="23" xfId="6" applyFont="1" applyFill="1" applyBorder="1"/>
    <xf numFmtId="0" fontId="12" fillId="10" borderId="23" xfId="0" applyFont="1" applyFill="1" applyBorder="1" applyAlignment="1">
      <alignment vertical="center"/>
    </xf>
    <xf numFmtId="0" fontId="4" fillId="10" borderId="23" xfId="0" applyFont="1" applyFill="1" applyBorder="1" applyAlignment="1">
      <alignment vertical="center"/>
    </xf>
    <xf numFmtId="167" fontId="5" fillId="0" borderId="21" xfId="0" applyNumberFormat="1" applyFont="1" applyBorder="1" applyAlignment="1">
      <alignment vertical="center"/>
    </xf>
    <xf numFmtId="0" fontId="12" fillId="10" borderId="23" xfId="2" applyFont="1" applyFill="1" applyBorder="1" applyAlignment="1">
      <alignment horizontal="center" vertical="center"/>
    </xf>
    <xf numFmtId="2" fontId="4" fillId="10" borderId="23" xfId="2" applyNumberFormat="1" applyFont="1" applyFill="1" applyBorder="1" applyAlignment="1">
      <alignment horizontal="center" vertical="center"/>
    </xf>
    <xf numFmtId="2" fontId="4" fillId="10" borderId="23" xfId="6" applyNumberFormat="1" applyFont="1" applyFill="1" applyBorder="1" applyAlignment="1">
      <alignment horizontal="center" vertical="center"/>
    </xf>
    <xf numFmtId="0" fontId="12" fillId="4" borderId="5" xfId="0" applyFont="1" applyFill="1" applyBorder="1"/>
    <xf numFmtId="49" fontId="12" fillId="4" borderId="5" xfId="1" applyNumberFormat="1" applyFont="1" applyFill="1" applyBorder="1" applyAlignment="1">
      <alignment vertical="center"/>
    </xf>
    <xf numFmtId="0" fontId="13" fillId="10" borderId="23" xfId="0" applyFont="1" applyFill="1" applyBorder="1"/>
    <xf numFmtId="0" fontId="12" fillId="10" borderId="23" xfId="0" applyFont="1" applyFill="1" applyBorder="1"/>
    <xf numFmtId="0" fontId="4" fillId="0" borderId="21" xfId="0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vertical="center"/>
    </xf>
    <xf numFmtId="165" fontId="5" fillId="0" borderId="21" xfId="0" applyNumberFormat="1" applyFont="1" applyBorder="1"/>
    <xf numFmtId="0" fontId="4" fillId="3" borderId="2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3" fillId="11" borderId="15" xfId="0" applyFont="1" applyFill="1" applyBorder="1" applyAlignment="1">
      <alignment horizontal="center" vertical="center" wrapText="1"/>
    </xf>
    <xf numFmtId="0" fontId="13" fillId="11" borderId="15" xfId="0" applyFont="1" applyFill="1" applyBorder="1" applyAlignment="1">
      <alignment vertical="center" wrapText="1"/>
    </xf>
    <xf numFmtId="0" fontId="13" fillId="11" borderId="21" xfId="0" applyFont="1" applyFill="1" applyBorder="1" applyAlignment="1">
      <alignment vertical="center" wrapText="1"/>
    </xf>
    <xf numFmtId="0" fontId="13" fillId="11" borderId="3" xfId="0" applyFont="1" applyFill="1" applyBorder="1" applyAlignment="1">
      <alignment vertical="center" wrapText="1"/>
    </xf>
    <xf numFmtId="2" fontId="4" fillId="11" borderId="21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/>
    <xf numFmtId="0" fontId="12" fillId="4" borderId="4" xfId="0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166" fontId="12" fillId="4" borderId="5" xfId="0" applyNumberFormat="1" applyFont="1" applyFill="1" applyBorder="1"/>
    <xf numFmtId="0" fontId="10" fillId="2" borderId="21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165" fontId="10" fillId="4" borderId="5" xfId="0" applyNumberFormat="1" applyFont="1" applyFill="1" applyBorder="1" applyAlignment="1">
      <alignment horizontal="center" vertical="center"/>
    </xf>
    <xf numFmtId="165" fontId="10" fillId="4" borderId="6" xfId="0" applyNumberFormat="1" applyFont="1" applyFill="1" applyBorder="1" applyAlignment="1">
      <alignment vertical="center"/>
    </xf>
    <xf numFmtId="165" fontId="18" fillId="2" borderId="21" xfId="0" applyNumberFormat="1" applyFont="1" applyFill="1" applyBorder="1"/>
    <xf numFmtId="0" fontId="10" fillId="0" borderId="0" xfId="0" applyFont="1"/>
    <xf numFmtId="0" fontId="19" fillId="0" borderId="0" xfId="0" applyFont="1"/>
    <xf numFmtId="0" fontId="10" fillId="4" borderId="4" xfId="0" applyFont="1" applyFill="1" applyBorder="1" applyAlignment="1">
      <alignment horizontal="center"/>
    </xf>
    <xf numFmtId="49" fontId="10" fillId="4" borderId="5" xfId="0" applyNumberFormat="1" applyFont="1" applyFill="1" applyBorder="1" applyAlignment="1">
      <alignment vertical="center"/>
    </xf>
    <xf numFmtId="2" fontId="10" fillId="4" borderId="5" xfId="0" applyNumberFormat="1" applyFont="1" applyFill="1" applyBorder="1" applyAlignment="1">
      <alignment horizontal="center"/>
    </xf>
    <xf numFmtId="166" fontId="10" fillId="4" borderId="6" xfId="0" applyNumberFormat="1" applyFont="1" applyFill="1" applyBorder="1"/>
    <xf numFmtId="0" fontId="10" fillId="4" borderId="5" xfId="0" applyFont="1" applyFill="1" applyBorder="1"/>
    <xf numFmtId="166" fontId="10" fillId="4" borderId="5" xfId="0" applyNumberFormat="1" applyFont="1" applyFill="1" applyBorder="1" applyAlignment="1">
      <alignment horizontal="center" vertical="center"/>
    </xf>
    <xf numFmtId="49" fontId="10" fillId="4" borderId="5" xfId="1" applyNumberFormat="1" applyFont="1" applyFill="1" applyBorder="1" applyAlignment="1">
      <alignment vertical="center"/>
    </xf>
    <xf numFmtId="0" fontId="10" fillId="4" borderId="8" xfId="0" applyFont="1" applyFill="1" applyBorder="1"/>
    <xf numFmtId="0" fontId="10" fillId="4" borderId="9" xfId="0" applyFont="1" applyFill="1" applyBorder="1"/>
    <xf numFmtId="0" fontId="10" fillId="0" borderId="15" xfId="0" applyFont="1" applyBorder="1" applyAlignment="1">
      <alignment horizontal="center" vertical="center"/>
    </xf>
    <xf numFmtId="166" fontId="18" fillId="3" borderId="21" xfId="0" applyNumberFormat="1" applyFont="1" applyFill="1" applyBorder="1" applyAlignment="1">
      <alignment vertical="center"/>
    </xf>
    <xf numFmtId="166" fontId="10" fillId="3" borderId="21" xfId="0" applyNumberFormat="1" applyFont="1" applyFill="1" applyBorder="1" applyAlignment="1">
      <alignment vertical="center"/>
    </xf>
    <xf numFmtId="164" fontId="10" fillId="3" borderId="21" xfId="0" applyNumberFormat="1" applyFont="1" applyFill="1" applyBorder="1" applyAlignment="1">
      <alignment vertical="center"/>
    </xf>
    <xf numFmtId="165" fontId="18" fillId="3" borderId="21" xfId="0" applyNumberFormat="1" applyFont="1" applyFill="1" applyBorder="1" applyAlignment="1">
      <alignment vertical="center"/>
    </xf>
    <xf numFmtId="165" fontId="10" fillId="3" borderId="21" xfId="0" applyNumberFormat="1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8" fillId="5" borderId="15" xfId="0" applyFont="1" applyFill="1" applyBorder="1" applyAlignment="1">
      <alignment horizontal="center" vertical="center"/>
    </xf>
    <xf numFmtId="166" fontId="10" fillId="3" borderId="21" xfId="0" applyNumberFormat="1" applyFont="1" applyFill="1" applyBorder="1" applyAlignment="1">
      <alignment horizontal="center" vertical="center"/>
    </xf>
    <xf numFmtId="164" fontId="10" fillId="3" borderId="21" xfId="0" applyNumberFormat="1" applyFont="1" applyFill="1" applyBorder="1" applyAlignment="1">
      <alignment horizontal="center" vertical="center"/>
    </xf>
    <xf numFmtId="165" fontId="18" fillId="2" borderId="21" xfId="0" applyNumberFormat="1" applyFont="1" applyFill="1" applyBorder="1" applyAlignment="1">
      <alignment vertical="center"/>
    </xf>
    <xf numFmtId="165" fontId="18" fillId="0" borderId="0" xfId="0" applyNumberFormat="1" applyFont="1" applyAlignment="1">
      <alignment vertical="center"/>
    </xf>
    <xf numFmtId="165" fontId="10" fillId="2" borderId="21" xfId="0" applyNumberFormat="1" applyFont="1" applyFill="1" applyBorder="1" applyAlignment="1">
      <alignment vertical="center"/>
    </xf>
    <xf numFmtId="166" fontId="10" fillId="2" borderId="3" xfId="0" applyNumberFormat="1" applyFont="1" applyFill="1" applyBorder="1"/>
    <xf numFmtId="0" fontId="18" fillId="3" borderId="15" xfId="0" applyFont="1" applyFill="1" applyBorder="1" applyAlignment="1">
      <alignment horizontal="center" vertical="center"/>
    </xf>
    <xf numFmtId="0" fontId="10" fillId="3" borderId="3" xfId="0" applyFont="1" applyFill="1" applyBorder="1"/>
    <xf numFmtId="0" fontId="18" fillId="4" borderId="4" xfId="0" applyFont="1" applyFill="1" applyBorder="1" applyAlignment="1">
      <alignment horizontal="center"/>
    </xf>
    <xf numFmtId="49" fontId="18" fillId="4" borderId="22" xfId="0" applyNumberFormat="1" applyFont="1" applyFill="1" applyBorder="1" applyAlignment="1">
      <alignment vertical="center"/>
    </xf>
    <xf numFmtId="10" fontId="18" fillId="5" borderId="21" xfId="0" applyNumberFormat="1" applyFont="1" applyFill="1" applyBorder="1" applyAlignment="1">
      <alignment vertical="center"/>
    </xf>
    <xf numFmtId="0" fontId="18" fillId="9" borderId="15" xfId="0" applyFont="1" applyFill="1" applyBorder="1" applyAlignment="1">
      <alignment horizontal="center" vertical="center"/>
    </xf>
    <xf numFmtId="0" fontId="18" fillId="9" borderId="21" xfId="0" applyFont="1" applyFill="1" applyBorder="1" applyAlignment="1">
      <alignment vertical="center"/>
    </xf>
    <xf numFmtId="2" fontId="18" fillId="9" borderId="21" xfId="0" applyNumberFormat="1" applyFont="1" applyFill="1" applyBorder="1" applyAlignment="1">
      <alignment horizontal="center" vertical="center"/>
    </xf>
    <xf numFmtId="0" fontId="18" fillId="9" borderId="21" xfId="0" applyFont="1" applyFill="1" applyBorder="1" applyAlignment="1">
      <alignment horizontal="center" vertical="center"/>
    </xf>
    <xf numFmtId="165" fontId="18" fillId="9" borderId="21" xfId="0" applyNumberFormat="1" applyFont="1" applyFill="1" applyBorder="1" applyAlignment="1">
      <alignment horizontal="center" vertical="center"/>
    </xf>
    <xf numFmtId="165" fontId="18" fillId="9" borderId="3" xfId="0" applyNumberFormat="1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166" fontId="10" fillId="2" borderId="21" xfId="0" applyNumberFormat="1" applyFont="1" applyFill="1" applyBorder="1" applyAlignment="1">
      <alignment horizontal="center" vertical="center"/>
    </xf>
    <xf numFmtId="164" fontId="10" fillId="2" borderId="21" xfId="0" applyNumberFormat="1" applyFont="1" applyFill="1" applyBorder="1" applyAlignment="1">
      <alignment horizontal="center" vertical="center"/>
    </xf>
    <xf numFmtId="0" fontId="10" fillId="2" borderId="3" xfId="0" applyFont="1" applyFill="1" applyBorder="1"/>
    <xf numFmtId="0" fontId="18" fillId="11" borderId="18" xfId="0" applyFont="1" applyFill="1" applyBorder="1" applyAlignment="1">
      <alignment horizontal="center" vertical="center" wrapText="1"/>
    </xf>
    <xf numFmtId="0" fontId="18" fillId="11" borderId="18" xfId="0" applyFont="1" applyFill="1" applyBorder="1" applyAlignment="1">
      <alignment vertical="center" wrapText="1"/>
    </xf>
    <xf numFmtId="0" fontId="18" fillId="11" borderId="21" xfId="0" applyFont="1" applyFill="1" applyBorder="1" applyAlignment="1">
      <alignment vertical="center" wrapText="1"/>
    </xf>
    <xf numFmtId="0" fontId="18" fillId="11" borderId="3" xfId="0" applyFont="1" applyFill="1" applyBorder="1" applyAlignment="1">
      <alignment vertical="center" wrapText="1"/>
    </xf>
    <xf numFmtId="0" fontId="10" fillId="10" borderId="18" xfId="0" applyFont="1" applyFill="1" applyBorder="1" applyAlignment="1">
      <alignment horizontal="center" vertical="center" wrapText="1"/>
    </xf>
    <xf numFmtId="49" fontId="10" fillId="4" borderId="7" xfId="0" applyNumberFormat="1" applyFont="1" applyFill="1" applyBorder="1" applyAlignment="1">
      <alignment vertical="center"/>
    </xf>
    <xf numFmtId="2" fontId="10" fillId="10" borderId="23" xfId="0" applyNumberFormat="1" applyFont="1" applyFill="1" applyBorder="1" applyAlignment="1">
      <alignment horizontal="center" vertical="center"/>
    </xf>
    <xf numFmtId="0" fontId="18" fillId="10" borderId="23" xfId="0" applyFont="1" applyFill="1" applyBorder="1" applyAlignment="1">
      <alignment vertical="center" wrapText="1"/>
    </xf>
    <xf numFmtId="2" fontId="10" fillId="4" borderId="23" xfId="0" applyNumberFormat="1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165" fontId="10" fillId="4" borderId="23" xfId="0" applyNumberFormat="1" applyFont="1" applyFill="1" applyBorder="1" applyAlignment="1">
      <alignment vertical="center"/>
    </xf>
    <xf numFmtId="165" fontId="10" fillId="4" borderId="23" xfId="0" applyNumberFormat="1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vertical="center"/>
    </xf>
    <xf numFmtId="0" fontId="18" fillId="11" borderId="21" xfId="0" applyFont="1" applyFill="1" applyBorder="1" applyAlignment="1">
      <alignment vertical="center"/>
    </xf>
    <xf numFmtId="0" fontId="18" fillId="11" borderId="3" xfId="0" applyFont="1" applyFill="1" applyBorder="1" applyAlignment="1">
      <alignment vertical="center"/>
    </xf>
    <xf numFmtId="0" fontId="10" fillId="10" borderId="23" xfId="0" applyFont="1" applyFill="1" applyBorder="1" applyAlignment="1">
      <alignment vertical="center"/>
    </xf>
    <xf numFmtId="0" fontId="10" fillId="10" borderId="23" xfId="0" applyFont="1" applyFill="1" applyBorder="1" applyAlignment="1">
      <alignment vertical="center" wrapText="1"/>
    </xf>
    <xf numFmtId="0" fontId="15" fillId="0" borderId="0" xfId="0" applyFont="1"/>
    <xf numFmtId="165" fontId="12" fillId="4" borderId="6" xfId="0" applyNumberFormat="1" applyFont="1" applyFill="1" applyBorder="1" applyAlignment="1">
      <alignment vertical="center"/>
    </xf>
    <xf numFmtId="0" fontId="9" fillId="2" borderId="21" xfId="0" applyFont="1" applyFill="1" applyBorder="1"/>
    <xf numFmtId="165" fontId="7" fillId="2" borderId="21" xfId="0" applyNumberFormat="1" applyFont="1" applyFill="1" applyBorder="1"/>
    <xf numFmtId="0" fontId="9" fillId="0" borderId="0" xfId="0" applyFont="1"/>
    <xf numFmtId="0" fontId="16" fillId="0" borderId="0" xfId="0" applyFont="1"/>
    <xf numFmtId="0" fontId="10" fillId="10" borderId="23" xfId="2" applyFont="1" applyFill="1" applyBorder="1" applyAlignment="1">
      <alignment vertical="center"/>
    </xf>
    <xf numFmtId="2" fontId="10" fillId="10" borderId="23" xfId="2" applyNumberFormat="1" applyFont="1" applyFill="1" applyBorder="1" applyAlignment="1">
      <alignment horizontal="center" vertical="center"/>
    </xf>
    <xf numFmtId="0" fontId="10" fillId="10" borderId="23" xfId="2" applyFont="1" applyFill="1" applyBorder="1" applyAlignment="1">
      <alignment horizontal="center" vertical="center"/>
    </xf>
    <xf numFmtId="0" fontId="10" fillId="10" borderId="23" xfId="6" applyFont="1" applyFill="1" applyBorder="1"/>
    <xf numFmtId="2" fontId="10" fillId="10" borderId="23" xfId="6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 wrapText="1"/>
    </xf>
    <xf numFmtId="2" fontId="10" fillId="4" borderId="4" xfId="0" applyNumberFormat="1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vertical="center"/>
    </xf>
    <xf numFmtId="2" fontId="10" fillId="4" borderId="22" xfId="0" applyNumberFormat="1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vertical="center"/>
    </xf>
    <xf numFmtId="165" fontId="10" fillId="4" borderId="24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66" fontId="18" fillId="0" borderId="0" xfId="0" applyNumberFormat="1" applyFont="1" applyAlignment="1">
      <alignment vertical="center"/>
    </xf>
    <xf numFmtId="2" fontId="10" fillId="3" borderId="21" xfId="0" applyNumberFormat="1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165" fontId="10" fillId="3" borderId="21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4" borderId="8" xfId="0" applyFont="1" applyFill="1" applyBorder="1"/>
    <xf numFmtId="0" fontId="12" fillId="4" borderId="9" xfId="0" applyFont="1" applyFill="1" applyBorder="1"/>
    <xf numFmtId="0" fontId="12" fillId="0" borderId="15" xfId="0" applyFont="1" applyBorder="1" applyAlignment="1">
      <alignment horizontal="center" vertical="center"/>
    </xf>
    <xf numFmtId="166" fontId="13" fillId="3" borderId="21" xfId="0" applyNumberFormat="1" applyFont="1" applyFill="1" applyBorder="1" applyAlignment="1">
      <alignment vertical="center"/>
    </xf>
    <xf numFmtId="166" fontId="12" fillId="3" borderId="21" xfId="0" applyNumberFormat="1" applyFont="1" applyFill="1" applyBorder="1" applyAlignment="1">
      <alignment vertical="center"/>
    </xf>
    <xf numFmtId="164" fontId="12" fillId="3" borderId="21" xfId="0" applyNumberFormat="1" applyFont="1" applyFill="1" applyBorder="1" applyAlignment="1">
      <alignment vertical="center"/>
    </xf>
    <xf numFmtId="165" fontId="13" fillId="3" borderId="21" xfId="0" applyNumberFormat="1" applyFont="1" applyFill="1" applyBorder="1" applyAlignment="1">
      <alignment vertical="center"/>
    </xf>
    <xf numFmtId="165" fontId="12" fillId="3" borderId="21" xfId="0" applyNumberFormat="1" applyFont="1" applyFill="1" applyBorder="1" applyAlignment="1">
      <alignment vertical="center"/>
    </xf>
    <xf numFmtId="165" fontId="12" fillId="3" borderId="3" xfId="0" applyNumberFormat="1" applyFont="1" applyFill="1" applyBorder="1" applyAlignment="1">
      <alignment vertical="center"/>
    </xf>
    <xf numFmtId="0" fontId="13" fillId="5" borderId="15" xfId="0" applyFont="1" applyFill="1" applyBorder="1" applyAlignment="1">
      <alignment horizontal="center" vertical="center"/>
    </xf>
    <xf numFmtId="166" fontId="12" fillId="3" borderId="21" xfId="0" applyNumberFormat="1" applyFont="1" applyFill="1" applyBorder="1" applyAlignment="1">
      <alignment horizontal="center" vertical="center"/>
    </xf>
    <xf numFmtId="164" fontId="12" fillId="3" borderId="21" xfId="0" applyNumberFormat="1" applyFont="1" applyFill="1" applyBorder="1" applyAlignment="1">
      <alignment horizontal="center" vertical="center"/>
    </xf>
    <xf numFmtId="165" fontId="13" fillId="2" borderId="21" xfId="0" applyNumberFormat="1" applyFont="1" applyFill="1" applyBorder="1" applyAlignment="1">
      <alignment vertical="center"/>
    </xf>
    <xf numFmtId="165" fontId="13" fillId="0" borderId="0" xfId="0" applyNumberFormat="1" applyFont="1" applyAlignment="1">
      <alignment vertical="center"/>
    </xf>
    <xf numFmtId="165" fontId="12" fillId="2" borderId="21" xfId="0" applyNumberFormat="1" applyFont="1" applyFill="1" applyBorder="1" applyAlignment="1">
      <alignment vertical="center"/>
    </xf>
    <xf numFmtId="166" fontId="12" fillId="2" borderId="3" xfId="0" applyNumberFormat="1" applyFont="1" applyFill="1" applyBorder="1"/>
    <xf numFmtId="43" fontId="13" fillId="5" borderId="21" xfId="0" applyNumberFormat="1" applyFont="1" applyFill="1" applyBorder="1" applyAlignment="1">
      <alignment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5">
    <cellStyle name="Comma 2" xfId="3" xr:uid="{BCA04B84-5A3E-4664-B5EC-3209D7C3CE4E}"/>
    <cellStyle name="Currency 2" xfId="4" xr:uid="{5B08C676-6D04-4758-8279-92F52668E423}"/>
    <cellStyle name="Moeda 10 10" xfId="10" xr:uid="{97925198-9AF6-4B09-8603-5C387D709A4C}"/>
    <cellStyle name="Moeda 2" xfId="13" xr:uid="{0F4BAF3C-6A96-4529-B4B3-7FC17717F32C}"/>
    <cellStyle name="Moeda 2 4" xfId="5" xr:uid="{F743684C-EA00-4634-9B81-F3CAC9042F40}"/>
    <cellStyle name="Moeda 3" xfId="14" xr:uid="{CA94523D-91CD-478E-812B-62A45F2FD1CE}"/>
    <cellStyle name="Moeda 3 2 10" xfId="8" xr:uid="{67099AA8-4C67-413C-A6A7-33F249C1418E}"/>
    <cellStyle name="Normal" xfId="0" builtinId="0"/>
    <cellStyle name="Normal 10" xfId="9" xr:uid="{72CF484E-C505-4564-9A8C-63B1211A196E}"/>
    <cellStyle name="Normal 2" xfId="1" xr:uid="{EDB562D6-D6F6-41D7-8017-D4474C06E8BA}"/>
    <cellStyle name="Normal 2 2" xfId="6" xr:uid="{7A81B045-85F5-43E2-B9F4-7FF82FAFDF7B}"/>
    <cellStyle name="Normal 3" xfId="7" xr:uid="{812CAF7E-5834-4340-BB61-03B6FD97DE61}"/>
    <cellStyle name="Normal 4" xfId="2" xr:uid="{DC0D83B4-412E-4AA5-9580-0D7DE2880CFF}"/>
    <cellStyle name="Percent 2" xfId="11" xr:uid="{2637DC6E-4DC0-43BC-BAA0-A8FAB258BB70}"/>
    <cellStyle name="Vírgula 2" xfId="12" xr:uid="{65E6315E-4612-4F1E-8E51-F543D385BAC9}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Caixilh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71"/>
  <sheetViews>
    <sheetView showGridLines="0" tabSelected="1" zoomScale="110" zoomScaleNormal="110" workbookViewId="0">
      <pane ySplit="9" topLeftCell="A296" activePane="bottomLeft" state="frozen"/>
      <selection pane="bottomLeft" activeCell="J315" sqref="J315"/>
    </sheetView>
  </sheetViews>
  <sheetFormatPr defaultColWidth="14.44140625" defaultRowHeight="15" customHeight="1" x14ac:dyDescent="0.3"/>
  <cols>
    <col min="1" max="1" width="3.5546875" customWidth="1"/>
    <col min="2" max="2" width="13.6640625" style="144" customWidth="1"/>
    <col min="3" max="3" width="76.88671875" bestFit="1" customWidth="1"/>
    <col min="4" max="4" width="10.109375" bestFit="1" customWidth="1"/>
    <col min="5" max="5" width="13.5546875" customWidth="1"/>
    <col min="6" max="6" width="13.44140625" customWidth="1"/>
    <col min="7" max="7" width="12.109375" customWidth="1"/>
    <col min="8" max="8" width="14.44140625" customWidth="1"/>
    <col min="9" max="9" width="13.5546875" customWidth="1"/>
    <col min="10" max="10" width="14.44140625" customWidth="1"/>
    <col min="11" max="11" width="5.88671875" customWidth="1"/>
    <col min="12" max="12" width="11" customWidth="1"/>
    <col min="13" max="13" width="17" customWidth="1"/>
    <col min="14" max="15" width="10.44140625" customWidth="1"/>
    <col min="16" max="22" width="8.6640625" customWidth="1"/>
  </cols>
  <sheetData>
    <row r="1" spans="1:22" ht="11.25" customHeight="1" x14ac:dyDescent="0.3">
      <c r="A1" s="43"/>
      <c r="B1" s="53"/>
      <c r="C1" s="54"/>
      <c r="D1" s="55"/>
      <c r="E1" s="53"/>
      <c r="F1" s="56"/>
      <c r="G1" s="1"/>
      <c r="H1" s="56"/>
      <c r="I1" s="54"/>
      <c r="J1" s="43"/>
      <c r="K1" s="43"/>
      <c r="L1" s="43"/>
      <c r="M1" s="43"/>
      <c r="N1" s="43"/>
      <c r="O1" s="43"/>
      <c r="P1" s="2"/>
      <c r="Q1" s="2"/>
      <c r="R1" s="2"/>
      <c r="S1" s="2"/>
      <c r="T1" s="2"/>
      <c r="U1" s="2"/>
      <c r="V1" s="2"/>
    </row>
    <row r="2" spans="1:22" ht="11.25" customHeight="1" thickBot="1" x14ac:dyDescent="0.35">
      <c r="A2" s="43"/>
      <c r="B2" s="53"/>
      <c r="C2" s="54"/>
      <c r="D2" s="55"/>
      <c r="E2" s="53"/>
      <c r="F2" s="56"/>
      <c r="G2" s="1"/>
      <c r="H2" s="56"/>
      <c r="I2" s="54"/>
      <c r="J2" s="43"/>
      <c r="K2" s="43"/>
      <c r="L2" s="43"/>
      <c r="M2" s="43"/>
      <c r="N2" s="43"/>
      <c r="O2" s="43"/>
      <c r="P2" s="2"/>
      <c r="Q2" s="2"/>
      <c r="R2" s="2"/>
      <c r="S2" s="2"/>
      <c r="T2" s="2"/>
      <c r="U2" s="2"/>
      <c r="V2" s="2"/>
    </row>
    <row r="3" spans="1:22" ht="11.25" customHeight="1" x14ac:dyDescent="0.3">
      <c r="A3" s="43"/>
      <c r="B3" s="57"/>
      <c r="C3" s="59"/>
      <c r="D3" s="60"/>
      <c r="E3" s="58"/>
      <c r="F3" s="61"/>
      <c r="G3" s="3"/>
      <c r="H3" s="61"/>
      <c r="I3" s="59"/>
      <c r="J3" s="4"/>
      <c r="K3" s="43"/>
      <c r="L3" s="43"/>
      <c r="M3" s="43"/>
      <c r="N3" s="43"/>
      <c r="O3" s="43"/>
      <c r="P3" s="2"/>
      <c r="Q3" s="2"/>
      <c r="R3" s="2"/>
      <c r="S3" s="2"/>
      <c r="T3" s="2"/>
      <c r="U3" s="2"/>
      <c r="V3" s="2"/>
    </row>
    <row r="4" spans="1:22" ht="11.25" customHeight="1" x14ac:dyDescent="0.3">
      <c r="A4" s="43"/>
      <c r="B4" s="62"/>
      <c r="C4" s="52"/>
      <c r="D4" s="64"/>
      <c r="E4" s="63"/>
      <c r="F4" s="65"/>
      <c r="G4" s="65"/>
      <c r="H4" s="65"/>
      <c r="I4" s="52"/>
      <c r="J4" s="66"/>
      <c r="K4" s="43"/>
      <c r="L4" s="43"/>
      <c r="M4" s="43"/>
      <c r="N4" s="43"/>
      <c r="O4" s="43"/>
      <c r="P4" s="2"/>
      <c r="Q4" s="2"/>
      <c r="R4" s="2"/>
      <c r="S4" s="2"/>
      <c r="T4" s="2"/>
      <c r="U4" s="2"/>
      <c r="V4" s="2"/>
    </row>
    <row r="5" spans="1:22" ht="11.25" customHeight="1" x14ac:dyDescent="0.3">
      <c r="A5" s="43"/>
      <c r="B5" s="282" t="s">
        <v>252</v>
      </c>
      <c r="C5" s="283"/>
      <c r="D5" s="283"/>
      <c r="E5" s="283"/>
      <c r="F5" s="283"/>
      <c r="G5" s="283"/>
      <c r="H5" s="283"/>
      <c r="I5" s="283"/>
      <c r="J5" s="284"/>
      <c r="K5" s="43"/>
      <c r="L5" s="43"/>
      <c r="M5" s="43"/>
      <c r="N5" s="43"/>
      <c r="O5" s="43"/>
      <c r="P5" s="2"/>
      <c r="Q5" s="2"/>
      <c r="R5" s="2"/>
      <c r="S5" s="2"/>
      <c r="T5" s="2"/>
      <c r="U5" s="2"/>
      <c r="V5" s="2"/>
    </row>
    <row r="6" spans="1:22" ht="11.25" customHeight="1" x14ac:dyDescent="0.3">
      <c r="A6" s="43"/>
      <c r="B6" s="282"/>
      <c r="C6" s="283"/>
      <c r="D6" s="283"/>
      <c r="E6" s="283"/>
      <c r="F6" s="283"/>
      <c r="G6" s="283"/>
      <c r="H6" s="283"/>
      <c r="I6" s="283"/>
      <c r="J6" s="284"/>
      <c r="K6" s="43"/>
      <c r="L6" s="43"/>
      <c r="M6" s="43"/>
      <c r="N6" s="43"/>
      <c r="O6" s="43"/>
      <c r="P6" s="2"/>
      <c r="Q6" s="2"/>
      <c r="R6" s="2"/>
      <c r="S6" s="2"/>
      <c r="T6" s="2"/>
      <c r="U6" s="2"/>
      <c r="V6" s="2"/>
    </row>
    <row r="7" spans="1:22" ht="11.25" customHeight="1" x14ac:dyDescent="0.3">
      <c r="A7" s="43"/>
      <c r="B7" s="285" t="s">
        <v>253</v>
      </c>
      <c r="C7" s="286"/>
      <c r="D7" s="286"/>
      <c r="E7" s="286"/>
      <c r="F7" s="286"/>
      <c r="G7" s="286"/>
      <c r="H7" s="286"/>
      <c r="I7" s="286"/>
      <c r="J7" s="287"/>
      <c r="K7" s="43"/>
      <c r="L7" s="43"/>
      <c r="M7" s="43"/>
      <c r="N7" s="43"/>
      <c r="O7" s="43"/>
      <c r="P7" s="2"/>
      <c r="Q7" s="2"/>
      <c r="R7" s="2"/>
      <c r="S7" s="2"/>
      <c r="T7" s="2"/>
      <c r="U7" s="2"/>
      <c r="V7" s="2"/>
    </row>
    <row r="8" spans="1:22" ht="11.25" customHeight="1" x14ac:dyDescent="0.3">
      <c r="A8" s="2"/>
      <c r="B8" s="263" t="s">
        <v>299</v>
      </c>
      <c r="C8" s="264">
        <v>172.7</v>
      </c>
      <c r="D8" s="5"/>
      <c r="E8" s="5"/>
      <c r="F8" s="5"/>
      <c r="G8" s="5"/>
      <c r="H8" s="5"/>
      <c r="I8" s="5"/>
      <c r="J8" s="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1.25" customHeight="1" x14ac:dyDescent="0.3">
      <c r="A9" s="2"/>
      <c r="B9" s="71"/>
      <c r="C9" s="73"/>
      <c r="D9" s="74" t="s">
        <v>0</v>
      </c>
      <c r="E9" s="72" t="s">
        <v>1</v>
      </c>
      <c r="F9" s="75" t="s">
        <v>2</v>
      </c>
      <c r="G9" s="75" t="s">
        <v>3</v>
      </c>
      <c r="H9" s="75" t="s">
        <v>2</v>
      </c>
      <c r="I9" s="75" t="s">
        <v>3</v>
      </c>
      <c r="J9" s="76" t="s">
        <v>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1.25" customHeight="1" x14ac:dyDescent="0.3">
      <c r="A10" s="2"/>
      <c r="B10" s="7">
        <v>1.1000000000000001</v>
      </c>
      <c r="C10" s="9" t="s">
        <v>5</v>
      </c>
      <c r="D10" s="16">
        <v>1</v>
      </c>
      <c r="E10" s="8" t="s">
        <v>8</v>
      </c>
      <c r="F10" s="11">
        <v>0</v>
      </c>
      <c r="G10" s="11">
        <v>16670</v>
      </c>
      <c r="H10" s="12">
        <f t="shared" ref="H10:H13" si="0">F10*D10</f>
        <v>0</v>
      </c>
      <c r="I10" s="11">
        <f t="shared" ref="I10" si="1">G10*D10</f>
        <v>16670</v>
      </c>
      <c r="J10" s="13">
        <f t="shared" ref="J10:J14" si="2">H10+I10</f>
        <v>16670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1.25" customHeight="1" x14ac:dyDescent="0.3">
      <c r="A11" s="2"/>
      <c r="B11" s="7">
        <v>1.2</v>
      </c>
      <c r="C11" s="9" t="s">
        <v>7</v>
      </c>
      <c r="D11" s="16">
        <v>0</v>
      </c>
      <c r="E11" s="8" t="s">
        <v>8</v>
      </c>
      <c r="F11" s="11">
        <v>0</v>
      </c>
      <c r="G11" s="11">
        <v>0</v>
      </c>
      <c r="H11" s="12">
        <f t="shared" si="0"/>
        <v>0</v>
      </c>
      <c r="I11" s="11">
        <f>G11*D11</f>
        <v>0</v>
      </c>
      <c r="J11" s="13">
        <f t="shared" si="2"/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1.25" customHeight="1" x14ac:dyDescent="0.3">
      <c r="A12" s="2"/>
      <c r="B12" s="7">
        <v>1.3</v>
      </c>
      <c r="C12" s="9" t="s">
        <v>9</v>
      </c>
      <c r="D12" s="16">
        <v>0</v>
      </c>
      <c r="E12" s="8" t="s">
        <v>8</v>
      </c>
      <c r="F12" s="11">
        <v>0</v>
      </c>
      <c r="G12" s="11">
        <v>0</v>
      </c>
      <c r="H12" s="12">
        <f t="shared" si="0"/>
        <v>0</v>
      </c>
      <c r="I12" s="11">
        <f>G12*D12</f>
        <v>0</v>
      </c>
      <c r="J12" s="13">
        <f t="shared" si="2"/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1.25" customHeight="1" x14ac:dyDescent="0.3">
      <c r="A13" s="2"/>
      <c r="B13" s="7">
        <v>1.4</v>
      </c>
      <c r="C13" s="9" t="s">
        <v>10</v>
      </c>
      <c r="D13" s="16">
        <v>0</v>
      </c>
      <c r="E13" s="8" t="s">
        <v>8</v>
      </c>
      <c r="F13" s="11">
        <v>0</v>
      </c>
      <c r="G13" s="11">
        <v>0</v>
      </c>
      <c r="H13" s="12">
        <f t="shared" si="0"/>
        <v>0</v>
      </c>
      <c r="I13" s="11">
        <f t="shared" ref="I13:I14" si="3">G13*D13</f>
        <v>0</v>
      </c>
      <c r="J13" s="13">
        <f t="shared" si="2"/>
        <v>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1.25" customHeight="1" x14ac:dyDescent="0.3">
      <c r="A14" s="2"/>
      <c r="B14" s="7">
        <v>1.5</v>
      </c>
      <c r="C14" s="9" t="s">
        <v>11</v>
      </c>
      <c r="D14" s="16">
        <v>1</v>
      </c>
      <c r="E14" s="8" t="s">
        <v>8</v>
      </c>
      <c r="F14" s="11">
        <f>46*5</f>
        <v>230</v>
      </c>
      <c r="G14" s="11">
        <v>0</v>
      </c>
      <c r="H14" s="12">
        <f>F14*D14</f>
        <v>230</v>
      </c>
      <c r="I14" s="11">
        <f t="shared" si="3"/>
        <v>0</v>
      </c>
      <c r="J14" s="13">
        <f t="shared" si="2"/>
        <v>230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1.25" customHeight="1" x14ac:dyDescent="0.3">
      <c r="A15" s="2"/>
      <c r="B15" s="77" t="s">
        <v>12</v>
      </c>
      <c r="C15" s="78">
        <f>SUM(J10:J14)</f>
        <v>16900</v>
      </c>
      <c r="D15" s="67"/>
      <c r="E15" s="67"/>
      <c r="F15" s="79"/>
      <c r="G15" s="79"/>
      <c r="H15" s="79"/>
      <c r="I15" s="63"/>
      <c r="J15" s="8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1.25" customHeight="1" x14ac:dyDescent="0.3">
      <c r="A16" s="2"/>
      <c r="B16" s="81" t="s">
        <v>13</v>
      </c>
      <c r="C16" s="82">
        <f>C15/E316</f>
        <v>4.4859356626576384E-2</v>
      </c>
      <c r="D16" s="55"/>
      <c r="E16" s="83"/>
      <c r="F16" s="84"/>
      <c r="G16" s="14"/>
      <c r="H16" s="84"/>
      <c r="I16" s="53"/>
      <c r="J16" s="6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1.25" customHeight="1" x14ac:dyDescent="0.3">
      <c r="A17" s="2"/>
      <c r="B17" s="70"/>
      <c r="C17" s="5"/>
      <c r="D17" s="5"/>
      <c r="E17" s="5"/>
      <c r="F17" s="5"/>
      <c r="G17" s="5"/>
      <c r="H17" s="5"/>
      <c r="I17" s="5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1.25" customHeight="1" x14ac:dyDescent="0.3">
      <c r="A18" s="2"/>
      <c r="B18" s="71">
        <v>2</v>
      </c>
      <c r="C18" s="73" t="s">
        <v>14</v>
      </c>
      <c r="D18" s="74" t="s">
        <v>0</v>
      </c>
      <c r="E18" s="72" t="s">
        <v>1</v>
      </c>
      <c r="F18" s="75" t="s">
        <v>2</v>
      </c>
      <c r="G18" s="75" t="s">
        <v>3</v>
      </c>
      <c r="H18" s="75" t="s">
        <v>2</v>
      </c>
      <c r="I18" s="75" t="s">
        <v>3</v>
      </c>
      <c r="J18" s="76" t="s">
        <v>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1.25" customHeight="1" x14ac:dyDescent="0.3">
      <c r="A19" s="2"/>
      <c r="B19" s="7">
        <v>2.1</v>
      </c>
      <c r="C19" s="146" t="s">
        <v>173</v>
      </c>
      <c r="D19" s="152">
        <v>0</v>
      </c>
      <c r="E19" s="151" t="s">
        <v>8</v>
      </c>
      <c r="F19" s="11">
        <v>0</v>
      </c>
      <c r="G19" s="11">
        <v>0</v>
      </c>
      <c r="H19" s="12">
        <f>F19*D19</f>
        <v>0</v>
      </c>
      <c r="I19" s="11">
        <f>G19*D19</f>
        <v>0</v>
      </c>
      <c r="J19" s="13">
        <f>I19+H19</f>
        <v>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1.25" customHeight="1" x14ac:dyDescent="0.3">
      <c r="A20" s="2"/>
      <c r="B20" s="7">
        <v>2.2000000000000002</v>
      </c>
      <c r="C20" s="146" t="s">
        <v>247</v>
      </c>
      <c r="D20" s="152">
        <v>2</v>
      </c>
      <c r="E20" s="151" t="s">
        <v>8</v>
      </c>
      <c r="F20" s="11">
        <v>0</v>
      </c>
      <c r="G20" s="11">
        <f>(3*3000)+(4*2200)+(2*2350)</f>
        <v>22500</v>
      </c>
      <c r="H20" s="12">
        <f t="shared" ref="H20:H39" si="4">F20*D20</f>
        <v>0</v>
      </c>
      <c r="I20" s="11">
        <f t="shared" ref="I20:I39" si="5">G20*D20</f>
        <v>45000</v>
      </c>
      <c r="J20" s="13">
        <f t="shared" ref="J20:J39" si="6">I20+H20</f>
        <v>45000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s="239" customFormat="1" ht="11.25" customHeight="1" x14ac:dyDescent="0.3">
      <c r="A21" s="181"/>
      <c r="B21" s="175">
        <v>2.2999999999999998</v>
      </c>
      <c r="C21" s="245" t="s">
        <v>174</v>
      </c>
      <c r="D21" s="246">
        <v>0</v>
      </c>
      <c r="E21" s="247" t="s">
        <v>8</v>
      </c>
      <c r="F21" s="128">
        <v>0</v>
      </c>
      <c r="G21" s="128">
        <v>0</v>
      </c>
      <c r="H21" s="178">
        <f t="shared" si="4"/>
        <v>0</v>
      </c>
      <c r="I21" s="128">
        <f t="shared" si="5"/>
        <v>0</v>
      </c>
      <c r="J21" s="179">
        <f t="shared" si="6"/>
        <v>0</v>
      </c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</row>
    <row r="22" spans="1:22" s="239" customFormat="1" ht="11.25" customHeight="1" x14ac:dyDescent="0.3">
      <c r="A22" s="181"/>
      <c r="B22" s="175">
        <v>2.4</v>
      </c>
      <c r="C22" s="245" t="s">
        <v>175</v>
      </c>
      <c r="D22" s="246">
        <v>0</v>
      </c>
      <c r="E22" s="247" t="s">
        <v>8</v>
      </c>
      <c r="F22" s="128">
        <v>0</v>
      </c>
      <c r="G22" s="128">
        <v>0</v>
      </c>
      <c r="H22" s="178">
        <f t="shared" si="4"/>
        <v>0</v>
      </c>
      <c r="I22" s="128">
        <f t="shared" si="5"/>
        <v>0</v>
      </c>
      <c r="J22" s="179">
        <f t="shared" si="6"/>
        <v>0</v>
      </c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</row>
    <row r="23" spans="1:22" ht="11.25" customHeight="1" x14ac:dyDescent="0.3">
      <c r="A23" s="2"/>
      <c r="B23" s="7">
        <v>2.5</v>
      </c>
      <c r="C23" s="146" t="s">
        <v>254</v>
      </c>
      <c r="D23" s="152">
        <v>1</v>
      </c>
      <c r="E23" s="151" t="s">
        <v>8</v>
      </c>
      <c r="F23" s="11">
        <v>7000</v>
      </c>
      <c r="G23" s="11">
        <v>0</v>
      </c>
      <c r="H23" s="12">
        <f t="shared" si="4"/>
        <v>7000</v>
      </c>
      <c r="I23" s="11">
        <f t="shared" si="5"/>
        <v>0</v>
      </c>
      <c r="J23" s="13">
        <f t="shared" si="6"/>
        <v>7000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s="239" customFormat="1" ht="11.25" customHeight="1" x14ac:dyDescent="0.3">
      <c r="A24" s="181"/>
      <c r="B24" s="175">
        <v>2.6</v>
      </c>
      <c r="C24" s="245" t="s">
        <v>176</v>
      </c>
      <c r="D24" s="246">
        <v>0</v>
      </c>
      <c r="E24" s="247">
        <v>0</v>
      </c>
      <c r="F24" s="128">
        <v>0</v>
      </c>
      <c r="G24" s="128">
        <v>0</v>
      </c>
      <c r="H24" s="178">
        <f t="shared" si="4"/>
        <v>0</v>
      </c>
      <c r="I24" s="128">
        <f t="shared" si="5"/>
        <v>0</v>
      </c>
      <c r="J24" s="179">
        <f t="shared" si="6"/>
        <v>0</v>
      </c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</row>
    <row r="25" spans="1:22" ht="11.25" customHeight="1" x14ac:dyDescent="0.3">
      <c r="A25" s="2"/>
      <c r="B25" s="7">
        <v>2.7</v>
      </c>
      <c r="C25" s="146" t="s">
        <v>255</v>
      </c>
      <c r="D25" s="152">
        <v>15</v>
      </c>
      <c r="E25" s="151" t="s">
        <v>17</v>
      </c>
      <c r="F25" s="142">
        <v>450</v>
      </c>
      <c r="G25" s="11">
        <v>0</v>
      </c>
      <c r="H25" s="12">
        <f t="shared" si="4"/>
        <v>6750</v>
      </c>
      <c r="I25" s="11">
        <f t="shared" si="5"/>
        <v>0</v>
      </c>
      <c r="J25" s="13">
        <f t="shared" si="6"/>
        <v>6750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s="239" customFormat="1" ht="11.25" customHeight="1" x14ac:dyDescent="0.3">
      <c r="A26" s="181"/>
      <c r="B26" s="175">
        <v>2.8</v>
      </c>
      <c r="C26" s="245" t="s">
        <v>177</v>
      </c>
      <c r="D26" s="246">
        <v>0</v>
      </c>
      <c r="E26" s="247" t="s">
        <v>189</v>
      </c>
      <c r="F26" s="128">
        <v>0</v>
      </c>
      <c r="G26" s="128">
        <v>0</v>
      </c>
      <c r="H26" s="178">
        <f t="shared" si="4"/>
        <v>0</v>
      </c>
      <c r="I26" s="128">
        <f t="shared" si="5"/>
        <v>0</v>
      </c>
      <c r="J26" s="179">
        <f t="shared" si="6"/>
        <v>0</v>
      </c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</row>
    <row r="27" spans="1:22" s="239" customFormat="1" ht="11.25" customHeight="1" x14ac:dyDescent="0.3">
      <c r="A27" s="181"/>
      <c r="B27" s="175">
        <v>2.9</v>
      </c>
      <c r="C27" s="245" t="s">
        <v>178</v>
      </c>
      <c r="D27" s="246">
        <v>0</v>
      </c>
      <c r="E27" s="247" t="s">
        <v>189</v>
      </c>
      <c r="F27" s="128">
        <v>0</v>
      </c>
      <c r="G27" s="128">
        <v>0</v>
      </c>
      <c r="H27" s="178">
        <f t="shared" si="4"/>
        <v>0</v>
      </c>
      <c r="I27" s="128">
        <f t="shared" si="5"/>
        <v>0</v>
      </c>
      <c r="J27" s="179">
        <f t="shared" si="6"/>
        <v>0</v>
      </c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</row>
    <row r="28" spans="1:22" s="239" customFormat="1" ht="11.25" customHeight="1" x14ac:dyDescent="0.3">
      <c r="A28" s="181"/>
      <c r="B28" s="175">
        <v>2.1</v>
      </c>
      <c r="C28" s="245" t="s">
        <v>179</v>
      </c>
      <c r="D28" s="246">
        <v>0</v>
      </c>
      <c r="E28" s="247" t="s">
        <v>189</v>
      </c>
      <c r="F28" s="128">
        <v>0</v>
      </c>
      <c r="G28" s="128">
        <v>0</v>
      </c>
      <c r="H28" s="178">
        <f t="shared" si="4"/>
        <v>0</v>
      </c>
      <c r="I28" s="128">
        <f t="shared" si="5"/>
        <v>0</v>
      </c>
      <c r="J28" s="179">
        <f t="shared" si="6"/>
        <v>0</v>
      </c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</row>
    <row r="29" spans="1:22" s="239" customFormat="1" ht="11.25" customHeight="1" x14ac:dyDescent="0.3">
      <c r="A29" s="181"/>
      <c r="B29" s="175">
        <v>2.11</v>
      </c>
      <c r="C29" s="245" t="s">
        <v>180</v>
      </c>
      <c r="D29" s="246">
        <v>0</v>
      </c>
      <c r="E29" s="247" t="s">
        <v>189</v>
      </c>
      <c r="F29" s="128">
        <v>0</v>
      </c>
      <c r="G29" s="128">
        <v>0</v>
      </c>
      <c r="H29" s="178">
        <f t="shared" si="4"/>
        <v>0</v>
      </c>
      <c r="I29" s="128">
        <f t="shared" si="5"/>
        <v>0</v>
      </c>
      <c r="J29" s="179">
        <f t="shared" si="6"/>
        <v>0</v>
      </c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</row>
    <row r="30" spans="1:22" s="239" customFormat="1" ht="11.25" customHeight="1" x14ac:dyDescent="0.3">
      <c r="A30" s="181"/>
      <c r="B30" s="175">
        <v>2.12</v>
      </c>
      <c r="C30" s="245" t="s">
        <v>181</v>
      </c>
      <c r="D30" s="246">
        <v>0</v>
      </c>
      <c r="E30" s="247" t="s">
        <v>8</v>
      </c>
      <c r="F30" s="128">
        <v>0</v>
      </c>
      <c r="G30" s="128">
        <v>0</v>
      </c>
      <c r="H30" s="178">
        <f t="shared" si="4"/>
        <v>0</v>
      </c>
      <c r="I30" s="128">
        <f t="shared" si="5"/>
        <v>0</v>
      </c>
      <c r="J30" s="179">
        <f t="shared" si="6"/>
        <v>0</v>
      </c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</row>
    <row r="31" spans="1:22" ht="11.25" customHeight="1" x14ac:dyDescent="0.3">
      <c r="A31" s="2"/>
      <c r="B31" s="7">
        <v>2.13</v>
      </c>
      <c r="C31" s="146" t="s">
        <v>182</v>
      </c>
      <c r="D31" s="152">
        <v>1</v>
      </c>
      <c r="E31" s="151" t="s">
        <v>8</v>
      </c>
      <c r="F31" s="11">
        <v>2500</v>
      </c>
      <c r="G31" s="11">
        <v>0</v>
      </c>
      <c r="H31" s="12">
        <f t="shared" si="4"/>
        <v>2500</v>
      </c>
      <c r="I31" s="11">
        <f t="shared" si="5"/>
        <v>0</v>
      </c>
      <c r="J31" s="13">
        <f t="shared" si="6"/>
        <v>2500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1.25" customHeight="1" x14ac:dyDescent="0.3">
      <c r="A32" s="2"/>
      <c r="B32" s="7">
        <v>2.14</v>
      </c>
      <c r="C32" s="146" t="s">
        <v>183</v>
      </c>
      <c r="D32" s="152">
        <v>1</v>
      </c>
      <c r="E32" s="151" t="s">
        <v>8</v>
      </c>
      <c r="F32" s="11">
        <v>2500</v>
      </c>
      <c r="G32" s="11">
        <v>0</v>
      </c>
      <c r="H32" s="12">
        <f t="shared" si="4"/>
        <v>2500</v>
      </c>
      <c r="I32" s="11">
        <f t="shared" si="5"/>
        <v>0</v>
      </c>
      <c r="J32" s="13">
        <f t="shared" si="6"/>
        <v>2500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1.25" customHeight="1" x14ac:dyDescent="0.3">
      <c r="A33" s="2"/>
      <c r="B33" s="7">
        <v>2.15</v>
      </c>
      <c r="C33" s="146" t="s">
        <v>184</v>
      </c>
      <c r="D33" s="152">
        <v>1</v>
      </c>
      <c r="E33" s="151" t="s">
        <v>8</v>
      </c>
      <c r="F33" s="11">
        <v>2000</v>
      </c>
      <c r="G33" s="11">
        <v>0</v>
      </c>
      <c r="H33" s="12">
        <f t="shared" si="4"/>
        <v>2000</v>
      </c>
      <c r="I33" s="11">
        <f t="shared" si="5"/>
        <v>0</v>
      </c>
      <c r="J33" s="13">
        <f t="shared" si="6"/>
        <v>2000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1.25" customHeight="1" x14ac:dyDescent="0.3">
      <c r="A34" s="2"/>
      <c r="B34" s="7">
        <v>2.16</v>
      </c>
      <c r="C34" s="146" t="s">
        <v>185</v>
      </c>
      <c r="D34" s="152">
        <v>1</v>
      </c>
      <c r="E34" s="151" t="s">
        <v>8</v>
      </c>
      <c r="F34" s="11">
        <v>2500</v>
      </c>
      <c r="G34" s="11">
        <v>0</v>
      </c>
      <c r="H34" s="12">
        <f t="shared" si="4"/>
        <v>2500</v>
      </c>
      <c r="I34" s="11">
        <f t="shared" si="5"/>
        <v>0</v>
      </c>
      <c r="J34" s="13">
        <f t="shared" si="6"/>
        <v>2500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s="239" customFormat="1" ht="11.25" customHeight="1" x14ac:dyDescent="0.3">
      <c r="A35" s="181"/>
      <c r="B35" s="175">
        <v>2.17</v>
      </c>
      <c r="C35" s="245" t="s">
        <v>186</v>
      </c>
      <c r="D35" s="246">
        <v>0</v>
      </c>
      <c r="E35" s="247" t="s">
        <v>8</v>
      </c>
      <c r="F35" s="128">
        <v>0</v>
      </c>
      <c r="G35" s="128">
        <v>0</v>
      </c>
      <c r="H35" s="178">
        <f t="shared" si="4"/>
        <v>0</v>
      </c>
      <c r="I35" s="128">
        <f t="shared" si="5"/>
        <v>0</v>
      </c>
      <c r="J35" s="179">
        <f t="shared" si="6"/>
        <v>0</v>
      </c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</row>
    <row r="36" spans="1:22" s="239" customFormat="1" ht="11.25" customHeight="1" x14ac:dyDescent="0.3">
      <c r="A36" s="181"/>
      <c r="B36" s="175">
        <v>2.1800000000000002</v>
      </c>
      <c r="C36" s="245" t="s">
        <v>187</v>
      </c>
      <c r="D36" s="246">
        <v>0</v>
      </c>
      <c r="E36" s="247" t="s">
        <v>58</v>
      </c>
      <c r="F36" s="128">
        <v>0</v>
      </c>
      <c r="G36" s="128">
        <v>0</v>
      </c>
      <c r="H36" s="178">
        <f t="shared" si="4"/>
        <v>0</v>
      </c>
      <c r="I36" s="128">
        <f t="shared" si="5"/>
        <v>0</v>
      </c>
      <c r="J36" s="179">
        <f t="shared" si="6"/>
        <v>0</v>
      </c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</row>
    <row r="37" spans="1:22" ht="11.25" customHeight="1" x14ac:dyDescent="0.3">
      <c r="A37" s="2"/>
      <c r="B37" s="7">
        <v>2.19</v>
      </c>
      <c r="C37" s="147" t="s">
        <v>15</v>
      </c>
      <c r="D37" s="153">
        <v>1</v>
      </c>
      <c r="E37" s="151" t="s">
        <v>8</v>
      </c>
      <c r="F37" s="11">
        <v>7000</v>
      </c>
      <c r="G37" s="11">
        <v>0</v>
      </c>
      <c r="H37" s="12">
        <f t="shared" si="4"/>
        <v>7000</v>
      </c>
      <c r="I37" s="11">
        <f t="shared" si="5"/>
        <v>0</v>
      </c>
      <c r="J37" s="13">
        <f t="shared" si="6"/>
        <v>7000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1.25" customHeight="1" x14ac:dyDescent="0.3">
      <c r="A38" s="2"/>
      <c r="B38" s="7">
        <v>2.2000000000000002</v>
      </c>
      <c r="C38" s="147" t="s">
        <v>16</v>
      </c>
      <c r="D38" s="153">
        <v>1</v>
      </c>
      <c r="E38" s="151" t="s">
        <v>8</v>
      </c>
      <c r="F38" s="11">
        <v>5000</v>
      </c>
      <c r="G38" s="11">
        <v>0</v>
      </c>
      <c r="H38" s="12">
        <f t="shared" si="4"/>
        <v>5000</v>
      </c>
      <c r="I38" s="11">
        <f t="shared" si="5"/>
        <v>0</v>
      </c>
      <c r="J38" s="13">
        <f t="shared" si="6"/>
        <v>5000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s="239" customFormat="1" ht="11.25" customHeight="1" x14ac:dyDescent="0.3">
      <c r="A39" s="181"/>
      <c r="B39" s="175">
        <v>2.21</v>
      </c>
      <c r="C39" s="248" t="s">
        <v>188</v>
      </c>
      <c r="D39" s="249">
        <v>1</v>
      </c>
      <c r="E39" s="247" t="s">
        <v>8</v>
      </c>
      <c r="F39" s="128">
        <v>0</v>
      </c>
      <c r="G39" s="128">
        <v>0</v>
      </c>
      <c r="H39" s="178">
        <f t="shared" si="4"/>
        <v>0</v>
      </c>
      <c r="I39" s="128">
        <f t="shared" si="5"/>
        <v>0</v>
      </c>
      <c r="J39" s="179">
        <f t="shared" si="6"/>
        <v>0</v>
      </c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</row>
    <row r="40" spans="1:22" ht="11.25" customHeight="1" x14ac:dyDescent="0.3">
      <c r="A40" s="2"/>
      <c r="B40" s="77" t="s">
        <v>12</v>
      </c>
      <c r="C40" s="78">
        <f>SUM(J19:J39)</f>
        <v>80250</v>
      </c>
      <c r="D40" s="5"/>
      <c r="E40" s="5"/>
      <c r="F40" s="5"/>
      <c r="G40" s="5"/>
      <c r="H40" s="5"/>
      <c r="I40" s="5"/>
      <c r="J40" s="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1.25" customHeight="1" x14ac:dyDescent="0.3">
      <c r="A41" s="2"/>
      <c r="B41" s="81" t="s">
        <v>13</v>
      </c>
      <c r="C41" s="82">
        <f>C40/E316</f>
        <v>0.21301558398122808</v>
      </c>
      <c r="D41" s="5"/>
      <c r="E41" s="5"/>
      <c r="F41" s="5"/>
      <c r="G41" s="5"/>
      <c r="H41" s="5"/>
      <c r="I41" s="5"/>
      <c r="J41" s="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1.25" customHeight="1" x14ac:dyDescent="0.3">
      <c r="A42" s="2"/>
      <c r="B42" s="94"/>
      <c r="C42" s="122"/>
      <c r="D42" s="123"/>
      <c r="E42" s="5"/>
      <c r="F42" s="5"/>
      <c r="G42" s="5"/>
      <c r="H42" s="5"/>
      <c r="I42" s="5"/>
      <c r="J42" s="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s="182" customFormat="1" ht="11.25" customHeight="1" x14ac:dyDescent="0.3">
      <c r="A43" s="181"/>
      <c r="B43" s="211">
        <v>3</v>
      </c>
      <c r="C43" s="212" t="s">
        <v>66</v>
      </c>
      <c r="D43" s="213" t="s">
        <v>0</v>
      </c>
      <c r="E43" s="214" t="s">
        <v>1</v>
      </c>
      <c r="F43" s="215" t="s">
        <v>2</v>
      </c>
      <c r="G43" s="215" t="s">
        <v>3</v>
      </c>
      <c r="H43" s="215" t="s">
        <v>2</v>
      </c>
      <c r="I43" s="215" t="s">
        <v>3</v>
      </c>
      <c r="J43" s="216" t="s">
        <v>4</v>
      </c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</row>
    <row r="44" spans="1:22" s="182" customFormat="1" ht="11.25" customHeight="1" x14ac:dyDescent="0.3">
      <c r="A44" s="181"/>
      <c r="B44" s="175">
        <v>3.1</v>
      </c>
      <c r="C44" s="184" t="s">
        <v>190</v>
      </c>
      <c r="D44" s="126">
        <v>0</v>
      </c>
      <c r="E44" s="177" t="s">
        <v>8</v>
      </c>
      <c r="F44" s="128">
        <v>0</v>
      </c>
      <c r="G44" s="128">
        <v>0</v>
      </c>
      <c r="H44" s="178">
        <f t="shared" ref="H44:H45" si="7">F44*D44</f>
        <v>0</v>
      </c>
      <c r="I44" s="128">
        <f>G44*D44</f>
        <v>0</v>
      </c>
      <c r="J44" s="179">
        <f>I44+H44</f>
        <v>0</v>
      </c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</row>
    <row r="45" spans="1:22" s="182" customFormat="1" ht="11.25" customHeight="1" x14ac:dyDescent="0.3">
      <c r="A45" s="181"/>
      <c r="B45" s="175">
        <v>3.2</v>
      </c>
      <c r="C45" s="184" t="s">
        <v>67</v>
      </c>
      <c r="D45" s="126">
        <v>0</v>
      </c>
      <c r="E45" s="177" t="s">
        <v>8</v>
      </c>
      <c r="F45" s="128">
        <v>0</v>
      </c>
      <c r="G45" s="128">
        <v>0</v>
      </c>
      <c r="H45" s="178">
        <f t="shared" si="7"/>
        <v>0</v>
      </c>
      <c r="I45" s="128">
        <f>G45*D45</f>
        <v>0</v>
      </c>
      <c r="J45" s="179">
        <f>I45+H45</f>
        <v>0</v>
      </c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</row>
    <row r="46" spans="1:22" s="182" customFormat="1" ht="11.25" customHeight="1" x14ac:dyDescent="0.3">
      <c r="A46" s="181"/>
      <c r="B46" s="175">
        <v>3.3</v>
      </c>
      <c r="C46" s="184" t="s">
        <v>191</v>
      </c>
      <c r="D46" s="126">
        <v>0</v>
      </c>
      <c r="E46" s="177" t="s">
        <v>8</v>
      </c>
      <c r="F46" s="128">
        <v>0</v>
      </c>
      <c r="G46" s="128">
        <v>0</v>
      </c>
      <c r="H46" s="178">
        <f>F46*D46</f>
        <v>0</v>
      </c>
      <c r="I46" s="128">
        <f>G46</f>
        <v>0</v>
      </c>
      <c r="J46" s="179">
        <f>I46+H46</f>
        <v>0</v>
      </c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</row>
    <row r="47" spans="1:22" s="182" customFormat="1" ht="11.25" customHeight="1" x14ac:dyDescent="0.3">
      <c r="A47" s="181"/>
      <c r="B47" s="175">
        <v>3.4</v>
      </c>
      <c r="C47" s="184" t="s">
        <v>68</v>
      </c>
      <c r="D47" s="126">
        <v>0</v>
      </c>
      <c r="E47" s="177" t="s">
        <v>8</v>
      </c>
      <c r="F47" s="128">
        <v>0</v>
      </c>
      <c r="G47" s="128">
        <v>0</v>
      </c>
      <c r="H47" s="178">
        <f>D47*F47</f>
        <v>0</v>
      </c>
      <c r="I47" s="128">
        <f>D47*G47</f>
        <v>0</v>
      </c>
      <c r="J47" s="179">
        <f t="shared" ref="J47:J49" si="8">I47+H47</f>
        <v>0</v>
      </c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</row>
    <row r="48" spans="1:22" s="182" customFormat="1" ht="11.25" customHeight="1" x14ac:dyDescent="0.3">
      <c r="A48" s="181"/>
      <c r="B48" s="175">
        <v>3.5</v>
      </c>
      <c r="C48" s="184" t="s">
        <v>192</v>
      </c>
      <c r="D48" s="126">
        <v>0</v>
      </c>
      <c r="E48" s="177" t="s">
        <v>8</v>
      </c>
      <c r="F48" s="128">
        <v>0</v>
      </c>
      <c r="G48" s="128">
        <v>0</v>
      </c>
      <c r="H48" s="178">
        <f>D48*F48</f>
        <v>0</v>
      </c>
      <c r="I48" s="128">
        <f>D48*G48</f>
        <v>0</v>
      </c>
      <c r="J48" s="179">
        <f t="shared" ref="J48" si="9">I48+H48</f>
        <v>0</v>
      </c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</row>
    <row r="49" spans="1:22" s="182" customFormat="1" ht="11.25" customHeight="1" x14ac:dyDescent="0.3">
      <c r="A49" s="181"/>
      <c r="B49" s="175">
        <v>3.6</v>
      </c>
      <c r="C49" s="184" t="s">
        <v>69</v>
      </c>
      <c r="D49" s="126">
        <v>0</v>
      </c>
      <c r="E49" s="177" t="s">
        <v>8</v>
      </c>
      <c r="F49" s="128">
        <v>0</v>
      </c>
      <c r="G49" s="128">
        <v>0</v>
      </c>
      <c r="H49" s="178">
        <f>D49*F49</f>
        <v>0</v>
      </c>
      <c r="I49" s="128">
        <f>D49*G49</f>
        <v>0</v>
      </c>
      <c r="J49" s="179">
        <f t="shared" si="8"/>
        <v>0</v>
      </c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</row>
    <row r="50" spans="1:22" ht="11.25" customHeight="1" x14ac:dyDescent="0.3">
      <c r="A50" s="2"/>
      <c r="B50" s="77" t="s">
        <v>12</v>
      </c>
      <c r="C50" s="78">
        <f>SUM(J44:J49)</f>
        <v>0</v>
      </c>
      <c r="D50" s="5"/>
      <c r="E50" s="5"/>
      <c r="F50" s="5"/>
      <c r="G50" s="5"/>
      <c r="H50" s="5"/>
      <c r="I50" s="5"/>
      <c r="J50" s="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1.25" customHeight="1" x14ac:dyDescent="0.3">
      <c r="A51" s="2"/>
      <c r="B51" s="81" t="s">
        <v>13</v>
      </c>
      <c r="C51" s="82">
        <f>C50/E316</f>
        <v>0</v>
      </c>
      <c r="D51" s="5"/>
      <c r="E51" s="5"/>
      <c r="F51" s="5"/>
      <c r="G51" s="5"/>
      <c r="H51" s="5"/>
      <c r="I51" s="5"/>
      <c r="J51" s="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1.25" customHeight="1" x14ac:dyDescent="0.3">
      <c r="A52" s="2"/>
      <c r="B52" s="45"/>
      <c r="C52" s="150"/>
      <c r="D52" s="5"/>
      <c r="E52" s="5"/>
      <c r="F52" s="5"/>
      <c r="G52" s="5"/>
      <c r="H52" s="5"/>
      <c r="I52" s="5"/>
      <c r="J52" s="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1.25" customHeight="1" x14ac:dyDescent="0.3">
      <c r="A53" s="2"/>
      <c r="B53" s="71">
        <v>4</v>
      </c>
      <c r="C53" s="73" t="s">
        <v>214</v>
      </c>
      <c r="D53" s="74" t="s">
        <v>0</v>
      </c>
      <c r="E53" s="72" t="s">
        <v>1</v>
      </c>
      <c r="F53" s="75" t="s">
        <v>2</v>
      </c>
      <c r="G53" s="75" t="s">
        <v>3</v>
      </c>
      <c r="H53" s="75" t="s">
        <v>2</v>
      </c>
      <c r="I53" s="75" t="s">
        <v>3</v>
      </c>
      <c r="J53" s="76" t="s">
        <v>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s="182" customFormat="1" ht="11.25" customHeight="1" x14ac:dyDescent="0.3">
      <c r="A54" s="181"/>
      <c r="B54" s="233">
        <v>4.0999999999999996</v>
      </c>
      <c r="C54" s="234" t="s">
        <v>65</v>
      </c>
      <c r="D54" s="235"/>
      <c r="E54" s="235"/>
      <c r="F54" s="235"/>
      <c r="G54" s="235"/>
      <c r="H54" s="235"/>
      <c r="I54" s="235"/>
      <c r="J54" s="236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</row>
    <row r="55" spans="1:22" s="182" customFormat="1" ht="11.25" customHeight="1" x14ac:dyDescent="0.3">
      <c r="A55" s="181"/>
      <c r="B55" s="175" t="s">
        <v>168</v>
      </c>
      <c r="C55" s="237" t="s">
        <v>200</v>
      </c>
      <c r="D55" s="126">
        <v>0</v>
      </c>
      <c r="E55" s="177" t="s">
        <v>76</v>
      </c>
      <c r="F55" s="128"/>
      <c r="G55" s="128"/>
      <c r="H55" s="178"/>
      <c r="I55" s="128"/>
      <c r="J55" s="179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</row>
    <row r="56" spans="1:22" s="182" customFormat="1" ht="11.25" customHeight="1" x14ac:dyDescent="0.3">
      <c r="A56" s="181"/>
      <c r="B56" s="175" t="s">
        <v>169</v>
      </c>
      <c r="C56" s="237" t="s">
        <v>201</v>
      </c>
      <c r="D56" s="126">
        <v>0</v>
      </c>
      <c r="E56" s="177" t="s">
        <v>76</v>
      </c>
      <c r="F56" s="128"/>
      <c r="G56" s="128"/>
      <c r="H56" s="178"/>
      <c r="I56" s="128"/>
      <c r="J56" s="179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</row>
    <row r="57" spans="1:22" s="182" customFormat="1" ht="11.25" customHeight="1" x14ac:dyDescent="0.3">
      <c r="A57" s="181"/>
      <c r="B57" s="175" t="s">
        <v>170</v>
      </c>
      <c r="C57" s="237" t="s">
        <v>202</v>
      </c>
      <c r="D57" s="126">
        <v>0</v>
      </c>
      <c r="E57" s="177" t="s">
        <v>8</v>
      </c>
      <c r="F57" s="128"/>
      <c r="G57" s="128"/>
      <c r="H57" s="178"/>
      <c r="I57" s="128"/>
      <c r="J57" s="179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</row>
    <row r="58" spans="1:22" s="182" customFormat="1" ht="11.25" customHeight="1" x14ac:dyDescent="0.3">
      <c r="A58" s="181"/>
      <c r="B58" s="175" t="s">
        <v>171</v>
      </c>
      <c r="C58" s="237" t="s">
        <v>203</v>
      </c>
      <c r="D58" s="126">
        <v>0</v>
      </c>
      <c r="E58" s="177" t="s">
        <v>8</v>
      </c>
      <c r="F58" s="128"/>
      <c r="G58" s="128"/>
      <c r="H58" s="178"/>
      <c r="I58" s="128"/>
      <c r="J58" s="179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</row>
    <row r="59" spans="1:22" s="182" customFormat="1" ht="11.25" customHeight="1" x14ac:dyDescent="0.3">
      <c r="A59" s="181"/>
      <c r="B59" s="175" t="s">
        <v>172</v>
      </c>
      <c r="C59" s="237" t="s">
        <v>204</v>
      </c>
      <c r="D59" s="126">
        <v>0</v>
      </c>
      <c r="E59" s="177" t="s">
        <v>76</v>
      </c>
      <c r="F59" s="128"/>
      <c r="G59" s="128"/>
      <c r="H59" s="178"/>
      <c r="I59" s="128"/>
      <c r="J59" s="179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</row>
    <row r="60" spans="1:22" s="182" customFormat="1" ht="11.25" customHeight="1" x14ac:dyDescent="0.3">
      <c r="A60" s="181"/>
      <c r="B60" s="175" t="s">
        <v>226</v>
      </c>
      <c r="C60" s="237" t="s">
        <v>205</v>
      </c>
      <c r="D60" s="126">
        <v>0</v>
      </c>
      <c r="E60" s="177" t="s">
        <v>8</v>
      </c>
      <c r="F60" s="128"/>
      <c r="G60" s="128"/>
      <c r="H60" s="178"/>
      <c r="I60" s="128"/>
      <c r="J60" s="179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</row>
    <row r="61" spans="1:22" s="182" customFormat="1" ht="11.25" customHeight="1" x14ac:dyDescent="0.3">
      <c r="A61" s="181"/>
      <c r="B61" s="175" t="s">
        <v>227</v>
      </c>
      <c r="C61" s="237" t="s">
        <v>206</v>
      </c>
      <c r="D61" s="126">
        <v>0</v>
      </c>
      <c r="E61" s="177" t="s">
        <v>8</v>
      </c>
      <c r="F61" s="128"/>
      <c r="G61" s="128"/>
      <c r="H61" s="178"/>
      <c r="I61" s="128"/>
      <c r="J61" s="179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</row>
    <row r="62" spans="1:22" s="182" customFormat="1" ht="11.25" customHeight="1" x14ac:dyDescent="0.3">
      <c r="A62" s="181"/>
      <c r="B62" s="175" t="s">
        <v>228</v>
      </c>
      <c r="C62" s="237" t="s">
        <v>207</v>
      </c>
      <c r="D62" s="126">
        <v>0</v>
      </c>
      <c r="E62" s="177" t="s">
        <v>8</v>
      </c>
      <c r="F62" s="128"/>
      <c r="G62" s="128"/>
      <c r="H62" s="178"/>
      <c r="I62" s="128"/>
      <c r="J62" s="179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</row>
    <row r="63" spans="1:22" s="182" customFormat="1" ht="11.25" customHeight="1" x14ac:dyDescent="0.3">
      <c r="A63" s="181"/>
      <c r="B63" s="175" t="s">
        <v>229</v>
      </c>
      <c r="C63" s="237" t="s">
        <v>208</v>
      </c>
      <c r="D63" s="126">
        <v>0</v>
      </c>
      <c r="E63" s="177"/>
      <c r="F63" s="128"/>
      <c r="G63" s="128"/>
      <c r="H63" s="178"/>
      <c r="I63" s="128"/>
      <c r="J63" s="179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</row>
    <row r="64" spans="1:22" s="182" customFormat="1" ht="11.25" customHeight="1" x14ac:dyDescent="0.3">
      <c r="A64" s="181"/>
      <c r="B64" s="175" t="s">
        <v>230</v>
      </c>
      <c r="C64" s="237" t="s">
        <v>209</v>
      </c>
      <c r="D64" s="126">
        <v>0</v>
      </c>
      <c r="E64" s="177"/>
      <c r="F64" s="128"/>
      <c r="G64" s="128"/>
      <c r="H64" s="178"/>
      <c r="I64" s="128"/>
      <c r="J64" s="179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</row>
    <row r="65" spans="1:22" s="182" customFormat="1" ht="11.25" customHeight="1" x14ac:dyDescent="0.3">
      <c r="A65" s="181"/>
      <c r="B65" s="175" t="s">
        <v>231</v>
      </c>
      <c r="C65" s="237" t="s">
        <v>210</v>
      </c>
      <c r="D65" s="126">
        <v>0</v>
      </c>
      <c r="E65" s="177"/>
      <c r="F65" s="128"/>
      <c r="G65" s="128"/>
      <c r="H65" s="178"/>
      <c r="I65" s="128"/>
      <c r="J65" s="179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</row>
    <row r="66" spans="1:22" s="182" customFormat="1" ht="11.25" customHeight="1" x14ac:dyDescent="0.3">
      <c r="A66" s="181"/>
      <c r="B66" s="175" t="s">
        <v>232</v>
      </c>
      <c r="C66" s="237" t="s">
        <v>211</v>
      </c>
      <c r="D66" s="126">
        <v>0</v>
      </c>
      <c r="E66" s="177"/>
      <c r="F66" s="128"/>
      <c r="G66" s="128"/>
      <c r="H66" s="178"/>
      <c r="I66" s="128"/>
      <c r="J66" s="179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</row>
    <row r="67" spans="1:22" s="182" customFormat="1" ht="11.25" customHeight="1" x14ac:dyDescent="0.3">
      <c r="A67" s="181"/>
      <c r="B67" s="175" t="s">
        <v>233</v>
      </c>
      <c r="C67" s="237" t="s">
        <v>212</v>
      </c>
      <c r="D67" s="126">
        <v>0</v>
      </c>
      <c r="E67" s="177"/>
      <c r="F67" s="128"/>
      <c r="G67" s="128"/>
      <c r="H67" s="178"/>
      <c r="I67" s="128"/>
      <c r="J67" s="179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</row>
    <row r="68" spans="1:22" s="182" customFormat="1" ht="11.25" customHeight="1" x14ac:dyDescent="0.3">
      <c r="A68" s="181"/>
      <c r="B68" s="233">
        <v>4.2</v>
      </c>
      <c r="C68" s="234" t="s">
        <v>64</v>
      </c>
      <c r="D68" s="235"/>
      <c r="E68" s="235"/>
      <c r="F68" s="235"/>
      <c r="G68" s="235"/>
      <c r="H68" s="235"/>
      <c r="I68" s="235"/>
      <c r="J68" s="236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</row>
    <row r="69" spans="1:22" s="182" customFormat="1" ht="11.25" customHeight="1" x14ac:dyDescent="0.3">
      <c r="A69" s="181"/>
      <c r="B69" s="175" t="s">
        <v>234</v>
      </c>
      <c r="C69" s="238" t="s">
        <v>193</v>
      </c>
      <c r="D69" s="126">
        <v>0</v>
      </c>
      <c r="E69" s="177"/>
      <c r="F69" s="128"/>
      <c r="G69" s="128"/>
      <c r="H69" s="178"/>
      <c r="I69" s="128"/>
      <c r="J69" s="179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</row>
    <row r="70" spans="1:22" s="182" customFormat="1" ht="11.25" customHeight="1" x14ac:dyDescent="0.3">
      <c r="A70" s="181"/>
      <c r="B70" s="175" t="s">
        <v>235</v>
      </c>
      <c r="C70" s="237" t="s">
        <v>215</v>
      </c>
      <c r="D70" s="126">
        <v>0</v>
      </c>
      <c r="E70" s="177"/>
      <c r="F70" s="128"/>
      <c r="G70" s="128"/>
      <c r="H70" s="178"/>
      <c r="I70" s="128"/>
      <c r="J70" s="179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</row>
    <row r="71" spans="1:22" s="182" customFormat="1" ht="11.25" customHeight="1" x14ac:dyDescent="0.3">
      <c r="A71" s="181"/>
      <c r="B71" s="175" t="s">
        <v>236</v>
      </c>
      <c r="C71" s="184" t="s">
        <v>145</v>
      </c>
      <c r="D71" s="126">
        <v>0</v>
      </c>
      <c r="E71" s="177"/>
      <c r="F71" s="128"/>
      <c r="G71" s="128"/>
      <c r="H71" s="178"/>
      <c r="I71" s="128"/>
      <c r="J71" s="179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</row>
    <row r="72" spans="1:22" s="182" customFormat="1" ht="11.25" customHeight="1" x14ac:dyDescent="0.3">
      <c r="A72" s="181"/>
      <c r="B72" s="175" t="s">
        <v>237</v>
      </c>
      <c r="C72" s="237" t="s">
        <v>194</v>
      </c>
      <c r="D72" s="126">
        <v>0</v>
      </c>
      <c r="E72" s="177"/>
      <c r="F72" s="128"/>
      <c r="G72" s="128"/>
      <c r="H72" s="178"/>
      <c r="I72" s="128"/>
      <c r="J72" s="179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</row>
    <row r="73" spans="1:22" s="182" customFormat="1" ht="11.25" customHeight="1" x14ac:dyDescent="0.3">
      <c r="A73" s="181"/>
      <c r="B73" s="175" t="s">
        <v>238</v>
      </c>
      <c r="C73" s="237" t="s">
        <v>195</v>
      </c>
      <c r="D73" s="126">
        <v>0</v>
      </c>
      <c r="E73" s="177"/>
      <c r="F73" s="128"/>
      <c r="G73" s="128"/>
      <c r="H73" s="178"/>
      <c r="I73" s="128"/>
      <c r="J73" s="179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</row>
    <row r="74" spans="1:22" s="182" customFormat="1" ht="11.25" customHeight="1" x14ac:dyDescent="0.3">
      <c r="A74" s="181"/>
      <c r="B74" s="175" t="s">
        <v>239</v>
      </c>
      <c r="C74" s="237" t="s">
        <v>196</v>
      </c>
      <c r="D74" s="126">
        <v>0</v>
      </c>
      <c r="E74" s="177"/>
      <c r="F74" s="128"/>
      <c r="G74" s="128"/>
      <c r="H74" s="178"/>
      <c r="I74" s="128"/>
      <c r="J74" s="179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</row>
    <row r="75" spans="1:22" s="182" customFormat="1" ht="11.25" customHeight="1" x14ac:dyDescent="0.3">
      <c r="A75" s="181"/>
      <c r="B75" s="175" t="s">
        <v>240</v>
      </c>
      <c r="C75" s="237" t="s">
        <v>197</v>
      </c>
      <c r="D75" s="126">
        <v>0</v>
      </c>
      <c r="E75" s="177"/>
      <c r="F75" s="128"/>
      <c r="G75" s="128"/>
      <c r="H75" s="178"/>
      <c r="I75" s="128"/>
      <c r="J75" s="179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</row>
    <row r="76" spans="1:22" s="182" customFormat="1" ht="11.25" customHeight="1" x14ac:dyDescent="0.3">
      <c r="A76" s="181"/>
      <c r="B76" s="175" t="s">
        <v>241</v>
      </c>
      <c r="C76" s="237" t="s">
        <v>198</v>
      </c>
      <c r="D76" s="126">
        <v>0</v>
      </c>
      <c r="E76" s="177"/>
      <c r="F76" s="128"/>
      <c r="G76" s="128"/>
      <c r="H76" s="178"/>
      <c r="I76" s="128"/>
      <c r="J76" s="179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</row>
    <row r="77" spans="1:22" ht="11.25" customHeight="1" x14ac:dyDescent="0.3">
      <c r="A77" s="2"/>
      <c r="B77" s="164">
        <v>4.3</v>
      </c>
      <c r="C77" s="165" t="s">
        <v>199</v>
      </c>
      <c r="D77" s="168"/>
      <c r="E77" s="166"/>
      <c r="F77" s="166"/>
      <c r="G77" s="166"/>
      <c r="H77" s="166"/>
      <c r="I77" s="166"/>
      <c r="J77" s="16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1.25" customHeight="1" x14ac:dyDescent="0.3">
      <c r="A78" s="2"/>
      <c r="B78" s="7" t="s">
        <v>242</v>
      </c>
      <c r="C78" s="148" t="s">
        <v>260</v>
      </c>
      <c r="D78" s="16">
        <v>1</v>
      </c>
      <c r="E78" s="8" t="s">
        <v>8</v>
      </c>
      <c r="F78" s="11">
        <v>3500</v>
      </c>
      <c r="G78" s="11">
        <v>0</v>
      </c>
      <c r="H78" s="12">
        <f>F78*D78</f>
        <v>3500</v>
      </c>
      <c r="I78" s="11">
        <f>G78*D78</f>
        <v>0</v>
      </c>
      <c r="J78" s="13">
        <f>I78+H78</f>
        <v>3500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1.25" customHeight="1" x14ac:dyDescent="0.3">
      <c r="A79" s="2"/>
      <c r="B79" s="7" t="s">
        <v>243</v>
      </c>
      <c r="C79" s="149" t="s">
        <v>259</v>
      </c>
      <c r="D79" s="16">
        <v>1</v>
      </c>
      <c r="E79" s="8" t="s">
        <v>8</v>
      </c>
      <c r="F79" s="11">
        <f>250*8</f>
        <v>2000</v>
      </c>
      <c r="G79" s="11">
        <v>0</v>
      </c>
      <c r="H79" s="12">
        <f>F79*D79</f>
        <v>2000</v>
      </c>
      <c r="I79" s="11">
        <f>G79*D79</f>
        <v>0</v>
      </c>
      <c r="J79" s="13">
        <f>I79+H79</f>
        <v>2000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s="182" customFormat="1" ht="11.25" customHeight="1" x14ac:dyDescent="0.3">
      <c r="A80" s="181"/>
      <c r="B80" s="221">
        <v>4.4000000000000004</v>
      </c>
      <c r="C80" s="222" t="s">
        <v>213</v>
      </c>
      <c r="D80" s="223"/>
      <c r="E80" s="223"/>
      <c r="F80" s="223"/>
      <c r="G80" s="223"/>
      <c r="H80" s="223"/>
      <c r="I80" s="223"/>
      <c r="J80" s="224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</row>
    <row r="81" spans="1:22" s="182" customFormat="1" ht="11.25" customHeight="1" x14ac:dyDescent="0.3">
      <c r="A81" s="181"/>
      <c r="B81" s="225" t="s">
        <v>244</v>
      </c>
      <c r="C81" s="226" t="s">
        <v>146</v>
      </c>
      <c r="D81" s="227">
        <v>0</v>
      </c>
      <c r="E81" s="228"/>
      <c r="F81" s="228"/>
      <c r="G81" s="228"/>
      <c r="H81" s="228"/>
      <c r="I81" s="228"/>
      <c r="J81" s="228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</row>
    <row r="82" spans="1:22" s="182" customFormat="1" ht="11.25" customHeight="1" x14ac:dyDescent="0.3">
      <c r="A82" s="181"/>
      <c r="B82" s="175" t="s">
        <v>245</v>
      </c>
      <c r="C82" s="226" t="s">
        <v>82</v>
      </c>
      <c r="D82" s="229">
        <v>0</v>
      </c>
      <c r="E82" s="230"/>
      <c r="F82" s="231"/>
      <c r="G82" s="231"/>
      <c r="H82" s="232"/>
      <c r="I82" s="231"/>
      <c r="J82" s="23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</row>
    <row r="83" spans="1:22" s="182" customFormat="1" ht="11.25" customHeight="1" x14ac:dyDescent="0.3">
      <c r="A83" s="181"/>
      <c r="B83" s="225" t="s">
        <v>246</v>
      </c>
      <c r="C83" s="226" t="s">
        <v>218</v>
      </c>
      <c r="D83" s="229">
        <v>0</v>
      </c>
      <c r="E83" s="230"/>
      <c r="F83" s="231"/>
      <c r="G83" s="231"/>
      <c r="H83" s="232"/>
      <c r="I83" s="231"/>
      <c r="J83" s="23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</row>
    <row r="84" spans="1:22" s="182" customFormat="1" ht="11.25" customHeight="1" x14ac:dyDescent="0.3">
      <c r="A84" s="181"/>
      <c r="B84" s="175"/>
      <c r="C84" s="226"/>
      <c r="D84" s="229">
        <v>0</v>
      </c>
      <c r="E84" s="230"/>
      <c r="F84" s="231"/>
      <c r="G84" s="231"/>
      <c r="H84" s="232"/>
      <c r="I84" s="231"/>
      <c r="J84" s="23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</row>
    <row r="85" spans="1:22" ht="11.25" customHeight="1" x14ac:dyDescent="0.3">
      <c r="A85" s="2"/>
      <c r="B85" s="77" t="s">
        <v>12</v>
      </c>
      <c r="C85" s="78">
        <f>SUM(J78:J84)</f>
        <v>5500</v>
      </c>
      <c r="D85" s="5"/>
      <c r="E85" s="5"/>
      <c r="F85" s="5"/>
      <c r="G85" s="5"/>
      <c r="H85" s="5"/>
      <c r="I85" s="5"/>
      <c r="J85" s="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1.25" customHeight="1" x14ac:dyDescent="0.3">
      <c r="A86" s="2"/>
      <c r="B86" s="81" t="s">
        <v>13</v>
      </c>
      <c r="C86" s="82">
        <f>C85/E316</f>
        <v>1.4599198902140242E-2</v>
      </c>
      <c r="D86" s="5"/>
      <c r="E86" s="5"/>
      <c r="F86" s="5"/>
      <c r="G86" s="5"/>
      <c r="H86" s="5"/>
      <c r="I86" s="5"/>
      <c r="J86" s="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1.25" customHeight="1" x14ac:dyDescent="0.3">
      <c r="A87" s="2"/>
      <c r="B87" s="94"/>
      <c r="C87" s="122"/>
      <c r="D87" s="123"/>
      <c r="E87" s="5"/>
      <c r="F87" s="5"/>
      <c r="G87" s="5"/>
      <c r="H87" s="5"/>
      <c r="I87" s="5"/>
      <c r="J87" s="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1.25" customHeight="1" x14ac:dyDescent="0.3">
      <c r="A88" s="2"/>
      <c r="B88" s="71">
        <v>5</v>
      </c>
      <c r="C88" s="73" t="s">
        <v>216</v>
      </c>
      <c r="D88" s="74" t="s">
        <v>0</v>
      </c>
      <c r="E88" s="72" t="s">
        <v>1</v>
      </c>
      <c r="F88" s="75" t="s">
        <v>2</v>
      </c>
      <c r="G88" s="75" t="s">
        <v>3</v>
      </c>
      <c r="H88" s="75" t="s">
        <v>2</v>
      </c>
      <c r="I88" s="75" t="s">
        <v>3</v>
      </c>
      <c r="J88" s="76" t="s">
        <v>4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1.25" customHeight="1" x14ac:dyDescent="0.3">
      <c r="A89" s="2"/>
      <c r="B89" s="7">
        <v>5.0999999999999996</v>
      </c>
      <c r="C89" s="9" t="s">
        <v>83</v>
      </c>
      <c r="D89" s="16">
        <v>1</v>
      </c>
      <c r="E89" s="8" t="s">
        <v>8</v>
      </c>
      <c r="F89" s="11">
        <v>650</v>
      </c>
      <c r="G89" s="11">
        <v>0</v>
      </c>
      <c r="H89" s="12">
        <f t="shared" ref="H89:H90" si="10">F89*D89</f>
        <v>650</v>
      </c>
      <c r="I89" s="11">
        <f>G89*D89</f>
        <v>0</v>
      </c>
      <c r="J89" s="13">
        <f>I89+H89</f>
        <v>650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1.25" customHeight="1" x14ac:dyDescent="0.3">
      <c r="A90" s="2"/>
      <c r="B90" s="7">
        <v>5.2</v>
      </c>
      <c r="C90" s="9" t="s">
        <v>74</v>
      </c>
      <c r="D90" s="16">
        <v>1</v>
      </c>
      <c r="E90" s="8" t="s">
        <v>8</v>
      </c>
      <c r="F90" s="11">
        <v>1500</v>
      </c>
      <c r="G90" s="11">
        <v>0</v>
      </c>
      <c r="H90" s="12">
        <f t="shared" si="10"/>
        <v>1500</v>
      </c>
      <c r="I90" s="11">
        <f>G90*D90</f>
        <v>0</v>
      </c>
      <c r="J90" s="13">
        <f>I90+H90</f>
        <v>1500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1.25" customHeight="1" x14ac:dyDescent="0.3">
      <c r="A91" s="2"/>
      <c r="B91" s="7">
        <v>5.3</v>
      </c>
      <c r="C91" s="9" t="s">
        <v>78</v>
      </c>
      <c r="D91" s="16">
        <v>1</v>
      </c>
      <c r="E91" s="8" t="s">
        <v>8</v>
      </c>
      <c r="F91" s="11">
        <v>1500</v>
      </c>
      <c r="G91" s="11">
        <v>0</v>
      </c>
      <c r="H91" s="12">
        <f t="shared" ref="H91:H98" si="11">F91*D91</f>
        <v>1500</v>
      </c>
      <c r="I91" s="11">
        <f t="shared" ref="I91:I97" si="12">G91*D91</f>
        <v>0</v>
      </c>
      <c r="J91" s="13">
        <f t="shared" ref="J91:J97" si="13">I91+H91</f>
        <v>1500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1.25" customHeight="1" x14ac:dyDescent="0.3">
      <c r="A92" s="2"/>
      <c r="B92" s="7">
        <v>5.4</v>
      </c>
      <c r="C92" s="9" t="s">
        <v>70</v>
      </c>
      <c r="D92" s="16">
        <v>250</v>
      </c>
      <c r="E92" s="8" t="s">
        <v>75</v>
      </c>
      <c r="F92" s="11">
        <v>42</v>
      </c>
      <c r="G92" s="11">
        <v>0</v>
      </c>
      <c r="H92" s="12">
        <f t="shared" si="11"/>
        <v>10500</v>
      </c>
      <c r="I92" s="11">
        <f t="shared" si="12"/>
        <v>0</v>
      </c>
      <c r="J92" s="13">
        <f t="shared" si="13"/>
        <v>10500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1.25" customHeight="1" x14ac:dyDescent="0.3">
      <c r="A93" s="2"/>
      <c r="B93" s="7">
        <v>5.5</v>
      </c>
      <c r="C93" s="9" t="s">
        <v>256</v>
      </c>
      <c r="D93" s="16">
        <v>40</v>
      </c>
      <c r="E93" s="8" t="s">
        <v>76</v>
      </c>
      <c r="F93" s="11">
        <v>180</v>
      </c>
      <c r="G93" s="11">
        <v>0</v>
      </c>
      <c r="H93" s="12">
        <f t="shared" si="11"/>
        <v>7200</v>
      </c>
      <c r="I93" s="11">
        <f t="shared" si="12"/>
        <v>0</v>
      </c>
      <c r="J93" s="13">
        <f t="shared" si="13"/>
        <v>7200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s="182" customFormat="1" ht="11.25" customHeight="1" x14ac:dyDescent="0.3">
      <c r="A94" s="181"/>
      <c r="B94" s="175">
        <v>5.6</v>
      </c>
      <c r="C94" s="184" t="s">
        <v>71</v>
      </c>
      <c r="D94" s="126">
        <v>1</v>
      </c>
      <c r="E94" s="177" t="s">
        <v>76</v>
      </c>
      <c r="F94" s="128">
        <v>0</v>
      </c>
      <c r="G94" s="128">
        <v>0</v>
      </c>
      <c r="H94" s="178">
        <f t="shared" si="11"/>
        <v>0</v>
      </c>
      <c r="I94" s="128">
        <f t="shared" si="12"/>
        <v>0</v>
      </c>
      <c r="J94" s="179">
        <f t="shared" si="13"/>
        <v>0</v>
      </c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</row>
    <row r="95" spans="1:22" s="182" customFormat="1" ht="11.25" customHeight="1" x14ac:dyDescent="0.3">
      <c r="A95" s="181"/>
      <c r="B95" s="175">
        <v>5.7</v>
      </c>
      <c r="C95" s="184" t="s">
        <v>73</v>
      </c>
      <c r="D95" s="126">
        <v>1</v>
      </c>
      <c r="E95" s="177" t="s">
        <v>76</v>
      </c>
      <c r="F95" s="128">
        <v>0</v>
      </c>
      <c r="G95" s="128">
        <v>0</v>
      </c>
      <c r="H95" s="178">
        <f t="shared" si="11"/>
        <v>0</v>
      </c>
      <c r="I95" s="128">
        <f t="shared" si="12"/>
        <v>0</v>
      </c>
      <c r="J95" s="179">
        <f t="shared" si="13"/>
        <v>0</v>
      </c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</row>
    <row r="96" spans="1:22" ht="11.25" customHeight="1" x14ac:dyDescent="0.3">
      <c r="A96" s="2"/>
      <c r="B96" s="7">
        <v>5.8</v>
      </c>
      <c r="C96" s="9" t="s">
        <v>72</v>
      </c>
      <c r="D96" s="16">
        <v>6</v>
      </c>
      <c r="E96" s="8" t="s">
        <v>76</v>
      </c>
      <c r="F96" s="11">
        <v>185</v>
      </c>
      <c r="G96" s="11">
        <v>0</v>
      </c>
      <c r="H96" s="12">
        <f t="shared" si="11"/>
        <v>1110</v>
      </c>
      <c r="I96" s="11">
        <f t="shared" si="12"/>
        <v>0</v>
      </c>
      <c r="J96" s="13">
        <f t="shared" si="13"/>
        <v>1110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1.25" customHeight="1" x14ac:dyDescent="0.3">
      <c r="A97" s="2"/>
      <c r="B97" s="7">
        <v>5.9</v>
      </c>
      <c r="C97" s="9" t="s">
        <v>79</v>
      </c>
      <c r="D97" s="16">
        <v>1</v>
      </c>
      <c r="E97" s="8" t="s">
        <v>8</v>
      </c>
      <c r="F97" s="11">
        <v>650</v>
      </c>
      <c r="G97" s="11">
        <v>0</v>
      </c>
      <c r="H97" s="12">
        <f t="shared" si="11"/>
        <v>650</v>
      </c>
      <c r="I97" s="11">
        <f t="shared" si="12"/>
        <v>0</v>
      </c>
      <c r="J97" s="13">
        <f t="shared" si="13"/>
        <v>650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s="182" customFormat="1" ht="11.25" customHeight="1" x14ac:dyDescent="0.3">
      <c r="A98" s="181"/>
      <c r="B98" s="175">
        <v>5.0999999999999996</v>
      </c>
      <c r="C98" s="184" t="s">
        <v>138</v>
      </c>
      <c r="D98" s="126">
        <v>0</v>
      </c>
      <c r="E98" s="177" t="s">
        <v>8</v>
      </c>
      <c r="F98" s="128">
        <v>0</v>
      </c>
      <c r="G98" s="128"/>
      <c r="H98" s="178">
        <f t="shared" si="11"/>
        <v>0</v>
      </c>
      <c r="I98" s="128">
        <f t="shared" ref="I98" si="14">G98*D98</f>
        <v>0</v>
      </c>
      <c r="J98" s="179">
        <f t="shared" ref="J98" si="15">I98+H98</f>
        <v>0</v>
      </c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</row>
    <row r="99" spans="1:22" s="182" customFormat="1" ht="11.25" customHeight="1" x14ac:dyDescent="0.3">
      <c r="A99" s="181"/>
      <c r="B99" s="175">
        <v>5.1100000000000003</v>
      </c>
      <c r="C99" s="184" t="s">
        <v>217</v>
      </c>
      <c r="D99" s="126">
        <v>0</v>
      </c>
      <c r="E99" s="177" t="s">
        <v>76</v>
      </c>
      <c r="F99" s="128">
        <v>0</v>
      </c>
      <c r="G99" s="128">
        <v>0</v>
      </c>
      <c r="H99" s="178">
        <f t="shared" ref="H99" si="16">F99*D99</f>
        <v>0</v>
      </c>
      <c r="I99" s="128">
        <f t="shared" ref="I99" si="17">G99*D99</f>
        <v>0</v>
      </c>
      <c r="J99" s="179">
        <f t="shared" ref="J99" si="18">I99+H99</f>
        <v>0</v>
      </c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</row>
    <row r="100" spans="1:22" s="182" customFormat="1" ht="11.25" customHeight="1" x14ac:dyDescent="0.3">
      <c r="A100" s="181"/>
      <c r="B100" s="175">
        <v>5.12</v>
      </c>
      <c r="C100" s="184" t="s">
        <v>147</v>
      </c>
      <c r="D100" s="126">
        <v>0</v>
      </c>
      <c r="E100" s="177" t="s">
        <v>76</v>
      </c>
      <c r="F100" s="128">
        <v>0</v>
      </c>
      <c r="G100" s="128">
        <v>0</v>
      </c>
      <c r="H100" s="178">
        <f t="shared" ref="H100" si="19">F100*D100</f>
        <v>0</v>
      </c>
      <c r="I100" s="128">
        <f t="shared" ref="I100" si="20">G100*D100</f>
        <v>0</v>
      </c>
      <c r="J100" s="179">
        <f t="shared" ref="J100" si="21">I100+H100</f>
        <v>0</v>
      </c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</row>
    <row r="101" spans="1:22" s="182" customFormat="1" ht="11.25" customHeight="1" x14ac:dyDescent="0.3">
      <c r="A101" s="181"/>
      <c r="B101" s="175">
        <v>5.13</v>
      </c>
      <c r="C101" s="184" t="s">
        <v>80</v>
      </c>
      <c r="D101" s="126">
        <v>0</v>
      </c>
      <c r="E101" s="177" t="s">
        <v>81</v>
      </c>
      <c r="F101" s="128">
        <v>0</v>
      </c>
      <c r="G101" s="128">
        <v>0</v>
      </c>
      <c r="H101" s="178">
        <f t="shared" ref="H101" si="22">F101*D101</f>
        <v>0</v>
      </c>
      <c r="I101" s="128">
        <f t="shared" ref="I101" si="23">G101*D101</f>
        <v>0</v>
      </c>
      <c r="J101" s="179">
        <f t="shared" ref="J101" si="24">I101+H101</f>
        <v>0</v>
      </c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</row>
    <row r="102" spans="1:22" ht="11.25" customHeight="1" x14ac:dyDescent="0.3">
      <c r="A102" s="2"/>
      <c r="B102" s="77" t="s">
        <v>12</v>
      </c>
      <c r="C102" s="78">
        <f>SUM(J89:J101)</f>
        <v>23110</v>
      </c>
      <c r="D102" s="5"/>
      <c r="E102" s="5"/>
      <c r="F102" s="5"/>
      <c r="G102" s="5"/>
      <c r="H102" s="5"/>
      <c r="I102" s="5"/>
      <c r="J102" s="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1.25" customHeight="1" x14ac:dyDescent="0.3">
      <c r="A103" s="2"/>
      <c r="B103" s="81" t="s">
        <v>13</v>
      </c>
      <c r="C103" s="82">
        <f>C102/E316</f>
        <v>6.1343179386992908E-2</v>
      </c>
      <c r="D103" s="5"/>
      <c r="E103" s="5"/>
      <c r="F103" s="5"/>
      <c r="G103" s="5"/>
      <c r="H103" s="5"/>
      <c r="I103" s="5"/>
      <c r="J103" s="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0.8" customHeight="1" x14ac:dyDescent="0.3">
      <c r="A104" s="2"/>
      <c r="B104" s="94"/>
      <c r="C104" s="122"/>
      <c r="D104" s="123"/>
      <c r="E104" s="5"/>
      <c r="F104" s="5"/>
      <c r="G104" s="5"/>
      <c r="H104" s="5"/>
      <c r="I104" s="5"/>
      <c r="J104" s="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s="182" customFormat="1" ht="11.25" customHeight="1" x14ac:dyDescent="0.3">
      <c r="A105" s="181"/>
      <c r="B105" s="211">
        <v>6</v>
      </c>
      <c r="C105" s="212" t="s">
        <v>18</v>
      </c>
      <c r="D105" s="213" t="s">
        <v>0</v>
      </c>
      <c r="E105" s="214" t="s">
        <v>19</v>
      </c>
      <c r="F105" s="215" t="s">
        <v>2</v>
      </c>
      <c r="G105" s="215" t="s">
        <v>3</v>
      </c>
      <c r="H105" s="215" t="s">
        <v>2</v>
      </c>
      <c r="I105" s="215" t="s">
        <v>3</v>
      </c>
      <c r="J105" s="216" t="s">
        <v>4</v>
      </c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</row>
    <row r="106" spans="1:22" s="182" customFormat="1" ht="11.25" customHeight="1" x14ac:dyDescent="0.3">
      <c r="A106" s="181"/>
      <c r="B106" s="175" t="s">
        <v>139</v>
      </c>
      <c r="C106" s="176" t="s">
        <v>77</v>
      </c>
      <c r="D106" s="177">
        <v>0</v>
      </c>
      <c r="E106" s="217" t="s">
        <v>8</v>
      </c>
      <c r="F106" s="128">
        <v>0</v>
      </c>
      <c r="G106" s="178">
        <v>0</v>
      </c>
      <c r="H106" s="128">
        <f>F106*D106</f>
        <v>0</v>
      </c>
      <c r="I106" s="128">
        <f>G106*D106</f>
        <v>0</v>
      </c>
      <c r="J106" s="179">
        <f>H106+I106</f>
        <v>0</v>
      </c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</row>
    <row r="107" spans="1:22" s="182" customFormat="1" ht="11.25" customHeight="1" x14ac:dyDescent="0.3">
      <c r="A107" s="181"/>
      <c r="B107" s="175" t="s">
        <v>140</v>
      </c>
      <c r="C107" s="176" t="s">
        <v>95</v>
      </c>
      <c r="D107" s="177">
        <v>0</v>
      </c>
      <c r="E107" s="217" t="s">
        <v>8</v>
      </c>
      <c r="F107" s="128">
        <v>0</v>
      </c>
      <c r="G107" s="178">
        <v>0</v>
      </c>
      <c r="H107" s="128">
        <f>F107*D107</f>
        <v>0</v>
      </c>
      <c r="I107" s="128">
        <f>G107*D107</f>
        <v>0</v>
      </c>
      <c r="J107" s="179">
        <f>H107+I107</f>
        <v>0</v>
      </c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</row>
    <row r="108" spans="1:22" s="182" customFormat="1" ht="11.25" customHeight="1" x14ac:dyDescent="0.3">
      <c r="A108" s="181"/>
      <c r="B108" s="206" t="s">
        <v>12</v>
      </c>
      <c r="C108" s="193">
        <f>SUM(J106:J107)</f>
        <v>0</v>
      </c>
      <c r="D108" s="200"/>
      <c r="E108" s="201"/>
      <c r="F108" s="196"/>
      <c r="G108" s="196"/>
      <c r="H108" s="196"/>
      <c r="I108" s="197"/>
      <c r="J108" s="198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</row>
    <row r="109" spans="1:22" s="182" customFormat="1" ht="11.25" customHeight="1" x14ac:dyDescent="0.3">
      <c r="A109" s="181"/>
      <c r="B109" s="199" t="s">
        <v>13</v>
      </c>
      <c r="C109" s="210">
        <f>C108/E316</f>
        <v>0</v>
      </c>
      <c r="D109" s="218"/>
      <c r="E109" s="219"/>
      <c r="F109" s="202"/>
      <c r="G109" s="203"/>
      <c r="H109" s="202"/>
      <c r="I109" s="204"/>
      <c r="J109" s="220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</row>
    <row r="110" spans="1:22" ht="11.25" customHeight="1" x14ac:dyDescent="0.3">
      <c r="A110" s="2"/>
      <c r="B110" s="70"/>
      <c r="C110" s="5"/>
      <c r="D110" s="5"/>
      <c r="E110" s="5"/>
      <c r="F110" s="5"/>
      <c r="G110" s="5"/>
      <c r="H110" s="5"/>
      <c r="I110" s="5"/>
      <c r="J110" s="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1.25" customHeight="1" x14ac:dyDescent="0.3">
      <c r="A111" s="43"/>
      <c r="B111" s="90">
        <v>7</v>
      </c>
      <c r="C111" s="91" t="s">
        <v>20</v>
      </c>
      <c r="D111" s="39"/>
      <c r="E111" s="92"/>
      <c r="F111" s="92"/>
      <c r="G111" s="92"/>
      <c r="H111" s="92"/>
      <c r="I111" s="92"/>
      <c r="J111" s="93"/>
      <c r="K111" s="44"/>
      <c r="L111" s="43"/>
      <c r="M111" s="43"/>
      <c r="N111" s="43"/>
      <c r="O111" s="43"/>
      <c r="P111" s="2"/>
      <c r="Q111" s="2"/>
      <c r="R111" s="2"/>
      <c r="S111" s="2"/>
      <c r="T111" s="2"/>
      <c r="U111" s="2"/>
      <c r="V111" s="2"/>
    </row>
    <row r="112" spans="1:22" ht="11.25" customHeight="1" x14ac:dyDescent="0.3">
      <c r="A112" s="43"/>
      <c r="B112" s="7" t="s">
        <v>141</v>
      </c>
      <c r="C112" s="9" t="s">
        <v>257</v>
      </c>
      <c r="D112" s="16">
        <v>240</v>
      </c>
      <c r="E112" s="8" t="s">
        <v>6</v>
      </c>
      <c r="F112" s="11">
        <v>50</v>
      </c>
      <c r="G112" s="11">
        <v>0</v>
      </c>
      <c r="H112" s="12">
        <f>D112*F112</f>
        <v>12000</v>
      </c>
      <c r="I112" s="11">
        <f>D112*G112</f>
        <v>0</v>
      </c>
      <c r="J112" s="13">
        <f t="shared" ref="J112" si="25">H112+I112</f>
        <v>12000</v>
      </c>
      <c r="K112" s="44"/>
      <c r="L112" s="43"/>
      <c r="M112" s="43"/>
      <c r="N112" s="43"/>
      <c r="O112" s="43"/>
      <c r="P112" s="2"/>
      <c r="Q112" s="2"/>
      <c r="R112" s="2"/>
      <c r="S112" s="2"/>
      <c r="T112" s="2"/>
      <c r="U112" s="2"/>
      <c r="V112" s="2"/>
    </row>
    <row r="113" spans="1:22" ht="11.25" customHeight="1" x14ac:dyDescent="0.3">
      <c r="A113" s="43"/>
      <c r="B113" s="7" t="s">
        <v>142</v>
      </c>
      <c r="C113" s="143" t="s">
        <v>150</v>
      </c>
      <c r="D113" s="16">
        <v>90</v>
      </c>
      <c r="E113" s="8" t="s">
        <v>75</v>
      </c>
      <c r="F113" s="11">
        <v>7.8</v>
      </c>
      <c r="G113" s="11">
        <v>0</v>
      </c>
      <c r="H113" s="12">
        <f t="shared" ref="H113:H115" si="26">D113*F113</f>
        <v>702</v>
      </c>
      <c r="I113" s="11">
        <f t="shared" ref="I113:I115" si="27">D113*G113</f>
        <v>0</v>
      </c>
      <c r="J113" s="13">
        <f t="shared" ref="J113:J115" si="28">H113+I113</f>
        <v>702</v>
      </c>
      <c r="K113" s="44"/>
      <c r="L113" s="43"/>
      <c r="M113" s="43"/>
      <c r="N113" s="43"/>
      <c r="O113" s="43"/>
      <c r="P113" s="2"/>
      <c r="Q113" s="2"/>
      <c r="R113" s="2"/>
      <c r="S113" s="2"/>
      <c r="T113" s="2"/>
      <c r="U113" s="2"/>
      <c r="V113" s="2"/>
    </row>
    <row r="114" spans="1:22" ht="11.25" customHeight="1" x14ac:dyDescent="0.3">
      <c r="A114" s="43"/>
      <c r="B114" s="7" t="s">
        <v>143</v>
      </c>
      <c r="C114" s="143" t="s">
        <v>149</v>
      </c>
      <c r="D114" s="16">
        <v>65</v>
      </c>
      <c r="E114" s="8" t="s">
        <v>75</v>
      </c>
      <c r="F114" s="11">
        <v>26.9</v>
      </c>
      <c r="G114" s="11">
        <v>0</v>
      </c>
      <c r="H114" s="12">
        <f t="shared" si="26"/>
        <v>1748.5</v>
      </c>
      <c r="I114" s="11">
        <f t="shared" si="27"/>
        <v>0</v>
      </c>
      <c r="J114" s="13">
        <f t="shared" si="28"/>
        <v>1748.5</v>
      </c>
      <c r="K114" s="44"/>
      <c r="L114" s="43"/>
      <c r="M114" s="43"/>
      <c r="N114" s="43"/>
      <c r="O114" s="43"/>
      <c r="P114" s="2"/>
      <c r="Q114" s="2"/>
      <c r="R114" s="2"/>
      <c r="S114" s="2"/>
      <c r="T114" s="2"/>
      <c r="U114" s="2"/>
      <c r="V114" s="2"/>
    </row>
    <row r="115" spans="1:22" ht="11.25" customHeight="1" x14ac:dyDescent="0.3">
      <c r="A115" s="43"/>
      <c r="B115" s="7" t="s">
        <v>144</v>
      </c>
      <c r="C115" s="143" t="s">
        <v>21</v>
      </c>
      <c r="D115" s="16">
        <v>1</v>
      </c>
      <c r="E115" s="8" t="s">
        <v>8</v>
      </c>
      <c r="F115" s="11">
        <v>350</v>
      </c>
      <c r="G115" s="11">
        <v>0</v>
      </c>
      <c r="H115" s="12">
        <f t="shared" si="26"/>
        <v>350</v>
      </c>
      <c r="I115" s="11">
        <f t="shared" si="27"/>
        <v>0</v>
      </c>
      <c r="J115" s="13">
        <f t="shared" si="28"/>
        <v>350</v>
      </c>
      <c r="K115" s="44"/>
      <c r="L115" s="43"/>
      <c r="M115" s="43"/>
      <c r="N115" s="43"/>
      <c r="O115" s="43"/>
      <c r="P115" s="2"/>
      <c r="Q115" s="2"/>
      <c r="R115" s="2"/>
      <c r="S115" s="2"/>
      <c r="T115" s="2"/>
      <c r="U115" s="2"/>
      <c r="V115" s="2"/>
    </row>
    <row r="116" spans="1:22" ht="11.25" customHeight="1" x14ac:dyDescent="0.3">
      <c r="A116" s="43"/>
      <c r="B116" s="94"/>
      <c r="C116" s="78">
        <f>SUM(J112:J115)</f>
        <v>14800.5</v>
      </c>
      <c r="D116" s="52"/>
      <c r="E116" s="67"/>
      <c r="F116" s="79"/>
      <c r="G116" s="79"/>
      <c r="H116" s="79"/>
      <c r="I116" s="65"/>
      <c r="J116" s="87"/>
      <c r="K116" s="44"/>
      <c r="L116" s="43"/>
      <c r="M116" s="43"/>
      <c r="N116" s="43"/>
      <c r="O116" s="43"/>
      <c r="P116" s="2"/>
      <c r="Q116" s="2"/>
      <c r="R116" s="2"/>
      <c r="S116" s="2"/>
      <c r="T116" s="2"/>
      <c r="U116" s="2"/>
      <c r="V116" s="2"/>
    </row>
    <row r="117" spans="1:22" ht="11.25" customHeight="1" x14ac:dyDescent="0.3">
      <c r="A117" s="43"/>
      <c r="B117" s="81" t="s">
        <v>13</v>
      </c>
      <c r="C117" s="88">
        <f>C116/E316</f>
        <v>3.9286444245659392E-2</v>
      </c>
      <c r="D117" s="64"/>
      <c r="E117" s="85"/>
      <c r="F117" s="84"/>
      <c r="G117" s="14"/>
      <c r="H117" s="84"/>
      <c r="I117" s="56"/>
      <c r="J117" s="95"/>
      <c r="K117" s="44"/>
      <c r="L117" s="43"/>
      <c r="M117" s="43"/>
      <c r="N117" s="43"/>
      <c r="O117" s="43"/>
      <c r="P117" s="2"/>
      <c r="Q117" s="2"/>
      <c r="R117" s="2"/>
      <c r="S117" s="2"/>
      <c r="T117" s="2"/>
      <c r="U117" s="2"/>
      <c r="V117" s="2"/>
    </row>
    <row r="118" spans="1:22" ht="11.25" customHeight="1" x14ac:dyDescent="0.3">
      <c r="A118" s="43"/>
      <c r="B118" s="77"/>
      <c r="C118" s="78"/>
      <c r="D118" s="64"/>
      <c r="E118" s="85"/>
      <c r="F118" s="79"/>
      <c r="G118" s="79"/>
      <c r="H118" s="79"/>
      <c r="I118" s="65"/>
      <c r="J118" s="96"/>
      <c r="K118" s="44"/>
      <c r="L118" s="43"/>
      <c r="M118" s="43"/>
      <c r="N118" s="43"/>
      <c r="O118" s="43"/>
      <c r="P118" s="2"/>
      <c r="Q118" s="2"/>
      <c r="R118" s="2"/>
      <c r="S118" s="2"/>
      <c r="T118" s="2"/>
      <c r="U118" s="2"/>
      <c r="V118" s="2"/>
    </row>
    <row r="119" spans="1:22" s="124" customFormat="1" ht="11.25" customHeight="1" x14ac:dyDescent="0.3">
      <c r="A119" s="136"/>
      <c r="B119" s="169">
        <v>7.2</v>
      </c>
      <c r="C119" s="170" t="s">
        <v>298</v>
      </c>
      <c r="D119" s="265"/>
      <c r="E119" s="265"/>
      <c r="F119" s="265"/>
      <c r="G119" s="265"/>
      <c r="H119" s="265"/>
      <c r="I119" s="265"/>
      <c r="J119" s="266"/>
      <c r="K119" s="140"/>
      <c r="L119" s="136"/>
      <c r="M119" s="136"/>
      <c r="N119" s="136"/>
      <c r="O119" s="136"/>
      <c r="P119" s="141"/>
      <c r="Q119" s="141"/>
      <c r="R119" s="141"/>
      <c r="S119" s="141"/>
      <c r="T119" s="141"/>
      <c r="U119" s="141"/>
      <c r="V119" s="141"/>
    </row>
    <row r="120" spans="1:22" s="124" customFormat="1" ht="11.25" customHeight="1" x14ac:dyDescent="0.3">
      <c r="A120" s="136"/>
      <c r="B120" s="171" t="s">
        <v>152</v>
      </c>
      <c r="C120" s="143" t="s">
        <v>296</v>
      </c>
      <c r="D120" s="138">
        <f>95-52</f>
        <v>43</v>
      </c>
      <c r="E120" s="138" t="s">
        <v>6</v>
      </c>
      <c r="F120" s="142">
        <v>150</v>
      </c>
      <c r="G120" s="142">
        <v>0</v>
      </c>
      <c r="H120" s="139">
        <f>D120*F120</f>
        <v>6450</v>
      </c>
      <c r="I120" s="142">
        <f>D120*G120</f>
        <v>0</v>
      </c>
      <c r="J120" s="240">
        <f>H120+I120</f>
        <v>6450</v>
      </c>
      <c r="K120" s="140"/>
      <c r="L120" s="136"/>
      <c r="M120" s="136"/>
      <c r="N120" s="136"/>
      <c r="O120" s="136"/>
      <c r="P120" s="141"/>
      <c r="Q120" s="141"/>
      <c r="R120" s="141"/>
      <c r="S120" s="141"/>
      <c r="T120" s="141"/>
      <c r="U120" s="141"/>
      <c r="V120" s="141"/>
    </row>
    <row r="121" spans="1:22" s="124" customFormat="1" ht="11.25" customHeight="1" x14ac:dyDescent="0.3">
      <c r="A121" s="136"/>
      <c r="B121" s="171" t="s">
        <v>153</v>
      </c>
      <c r="C121" s="143" t="s">
        <v>297</v>
      </c>
      <c r="D121" s="138">
        <f>95-38-5</f>
        <v>52</v>
      </c>
      <c r="E121" s="138" t="s">
        <v>6</v>
      </c>
      <c r="F121" s="142">
        <v>80</v>
      </c>
      <c r="G121" s="142">
        <v>50</v>
      </c>
      <c r="H121" s="139">
        <f>D121*F121</f>
        <v>4160</v>
      </c>
      <c r="I121" s="142">
        <f>D121*G121</f>
        <v>2600</v>
      </c>
      <c r="J121" s="240">
        <f t="shared" ref="J121" si="29">H121+I121</f>
        <v>6760</v>
      </c>
      <c r="K121" s="140"/>
      <c r="L121" s="136"/>
      <c r="M121" s="136"/>
      <c r="N121" s="136"/>
      <c r="O121" s="136"/>
      <c r="P121" s="141"/>
      <c r="Q121" s="141"/>
      <c r="R121" s="141"/>
      <c r="S121" s="141"/>
      <c r="T121" s="141"/>
      <c r="U121" s="141"/>
      <c r="V121" s="141"/>
    </row>
    <row r="122" spans="1:22" s="124" customFormat="1" ht="11.25" customHeight="1" x14ac:dyDescent="0.3">
      <c r="A122" s="136"/>
      <c r="B122" s="267"/>
      <c r="C122" s="268">
        <f>SUM(J120:J121)</f>
        <v>13210</v>
      </c>
      <c r="D122" s="269"/>
      <c r="E122" s="270"/>
      <c r="F122" s="271"/>
      <c r="G122" s="271"/>
      <c r="H122" s="271"/>
      <c r="I122" s="272"/>
      <c r="J122" s="273"/>
      <c r="K122" s="140"/>
      <c r="L122" s="136"/>
      <c r="M122" s="136"/>
      <c r="N122" s="136"/>
      <c r="O122" s="136"/>
      <c r="P122" s="141"/>
      <c r="Q122" s="141"/>
      <c r="R122" s="141"/>
      <c r="S122" s="141"/>
      <c r="T122" s="141"/>
      <c r="U122" s="141"/>
      <c r="V122" s="141"/>
    </row>
    <row r="123" spans="1:22" s="124" customFormat="1" ht="11.25" customHeight="1" x14ac:dyDescent="0.3">
      <c r="A123" s="136"/>
      <c r="B123" s="274" t="s">
        <v>13</v>
      </c>
      <c r="C123" s="281">
        <f>C122/E316</f>
        <v>3.5064621363140473E-2</v>
      </c>
      <c r="D123" s="275"/>
      <c r="E123" s="276"/>
      <c r="F123" s="277"/>
      <c r="G123" s="278"/>
      <c r="H123" s="277"/>
      <c r="I123" s="279"/>
      <c r="J123" s="280"/>
      <c r="K123" s="140"/>
      <c r="L123" s="136"/>
      <c r="M123" s="136"/>
      <c r="N123" s="136"/>
      <c r="O123" s="136"/>
      <c r="P123" s="141"/>
      <c r="Q123" s="141"/>
      <c r="R123" s="141"/>
      <c r="S123" s="141"/>
      <c r="T123" s="141"/>
      <c r="U123" s="141"/>
      <c r="V123" s="141"/>
    </row>
    <row r="124" spans="1:22" s="182" customFormat="1" ht="11.25" customHeight="1" x14ac:dyDescent="0.3">
      <c r="A124" s="174"/>
      <c r="B124" s="206"/>
      <c r="C124" s="193"/>
      <c r="D124" s="200"/>
      <c r="E124" s="201"/>
      <c r="F124" s="196"/>
      <c r="G124" s="196"/>
      <c r="H124" s="196"/>
      <c r="I124" s="197"/>
      <c r="J124" s="207"/>
      <c r="K124" s="180"/>
      <c r="L124" s="174"/>
      <c r="M124" s="174"/>
      <c r="N124" s="174"/>
      <c r="O124" s="174"/>
      <c r="P124" s="181"/>
      <c r="Q124" s="181"/>
      <c r="R124" s="181"/>
      <c r="S124" s="181"/>
      <c r="T124" s="181"/>
      <c r="U124" s="181"/>
      <c r="V124" s="181"/>
    </row>
    <row r="125" spans="1:22" s="182" customFormat="1" ht="11.25" customHeight="1" x14ac:dyDescent="0.3">
      <c r="A125" s="174"/>
      <c r="B125" s="208">
        <v>7.3</v>
      </c>
      <c r="C125" s="209" t="s">
        <v>96</v>
      </c>
      <c r="D125" s="190"/>
      <c r="E125" s="190"/>
      <c r="F125" s="190"/>
      <c r="G125" s="190"/>
      <c r="H125" s="190"/>
      <c r="I125" s="190"/>
      <c r="J125" s="191"/>
      <c r="K125" s="180"/>
      <c r="L125" s="174"/>
      <c r="M125" s="174"/>
      <c r="N125" s="174"/>
      <c r="O125" s="174"/>
      <c r="P125" s="181"/>
      <c r="Q125" s="181"/>
      <c r="R125" s="181"/>
      <c r="S125" s="181"/>
      <c r="T125" s="181"/>
      <c r="U125" s="181"/>
      <c r="V125" s="181"/>
    </row>
    <row r="126" spans="1:22" s="182" customFormat="1" ht="11.25" customHeight="1" x14ac:dyDescent="0.3">
      <c r="A126" s="174"/>
      <c r="B126" s="175" t="s">
        <v>154</v>
      </c>
      <c r="C126" s="176" t="s">
        <v>22</v>
      </c>
      <c r="D126" s="177">
        <v>0</v>
      </c>
      <c r="E126" s="177" t="s">
        <v>6</v>
      </c>
      <c r="F126" s="128">
        <v>0</v>
      </c>
      <c r="G126" s="128">
        <v>0</v>
      </c>
      <c r="H126" s="178">
        <f>D126*F126</f>
        <v>0</v>
      </c>
      <c r="I126" s="128">
        <f>D126*G126</f>
        <v>0</v>
      </c>
      <c r="J126" s="179">
        <f t="shared" ref="J126:J127" si="30">H126+I126</f>
        <v>0</v>
      </c>
      <c r="K126" s="180"/>
      <c r="L126" s="174"/>
      <c r="M126" s="174"/>
      <c r="N126" s="174"/>
      <c r="O126" s="174"/>
      <c r="P126" s="181"/>
      <c r="Q126" s="181"/>
      <c r="R126" s="181"/>
      <c r="S126" s="181"/>
      <c r="T126" s="181"/>
      <c r="U126" s="181"/>
      <c r="V126" s="181"/>
    </row>
    <row r="127" spans="1:22" s="182" customFormat="1" ht="11.25" customHeight="1" x14ac:dyDescent="0.3">
      <c r="A127" s="174"/>
      <c r="B127" s="175" t="s">
        <v>155</v>
      </c>
      <c r="C127" s="176" t="s">
        <v>23</v>
      </c>
      <c r="D127" s="177">
        <v>0</v>
      </c>
      <c r="E127" s="177" t="s">
        <v>6</v>
      </c>
      <c r="F127" s="128">
        <v>0</v>
      </c>
      <c r="G127" s="128">
        <v>0</v>
      </c>
      <c r="H127" s="178">
        <f>D127*F127</f>
        <v>0</v>
      </c>
      <c r="I127" s="128">
        <f>D127*G127</f>
        <v>0</v>
      </c>
      <c r="J127" s="179">
        <f t="shared" si="30"/>
        <v>0</v>
      </c>
      <c r="K127" s="180"/>
      <c r="L127" s="174"/>
      <c r="M127" s="174"/>
      <c r="N127" s="174"/>
      <c r="O127" s="174"/>
      <c r="P127" s="181"/>
      <c r="Q127" s="181"/>
      <c r="R127" s="181"/>
      <c r="S127" s="181"/>
      <c r="T127" s="181"/>
      <c r="U127" s="181"/>
      <c r="V127" s="181"/>
    </row>
    <row r="128" spans="1:22" s="182" customFormat="1" ht="11.25" customHeight="1" x14ac:dyDescent="0.3">
      <c r="A128" s="174"/>
      <c r="B128" s="192"/>
      <c r="C128" s="193">
        <f>SUM(J126:J127)</f>
        <v>0</v>
      </c>
      <c r="D128" s="194"/>
      <c r="E128" s="195"/>
      <c r="F128" s="196"/>
      <c r="G128" s="196"/>
      <c r="H128" s="196"/>
      <c r="I128" s="197"/>
      <c r="J128" s="198"/>
      <c r="K128" s="180"/>
      <c r="L128" s="174"/>
      <c r="M128" s="174"/>
      <c r="N128" s="174"/>
      <c r="O128" s="174"/>
      <c r="P128" s="181"/>
      <c r="Q128" s="181"/>
      <c r="R128" s="181"/>
      <c r="S128" s="181"/>
      <c r="T128" s="181"/>
      <c r="U128" s="181"/>
      <c r="V128" s="181"/>
    </row>
    <row r="129" spans="1:22" s="182" customFormat="1" ht="11.25" customHeight="1" x14ac:dyDescent="0.3">
      <c r="A129" s="174"/>
      <c r="B129" s="199" t="s">
        <v>13</v>
      </c>
      <c r="C129" s="210" t="e">
        <f>C128/G367</f>
        <v>#DIV/0!</v>
      </c>
      <c r="D129" s="200"/>
      <c r="E129" s="201"/>
      <c r="F129" s="202"/>
      <c r="G129" s="203"/>
      <c r="H129" s="202"/>
      <c r="I129" s="204"/>
      <c r="J129" s="205"/>
      <c r="K129" s="180"/>
      <c r="L129" s="174"/>
      <c r="M129" s="174"/>
      <c r="N129" s="174"/>
      <c r="O129" s="174"/>
      <c r="P129" s="181"/>
      <c r="Q129" s="181"/>
      <c r="R129" s="181"/>
      <c r="S129" s="181"/>
      <c r="T129" s="181"/>
      <c r="U129" s="181"/>
      <c r="V129" s="181"/>
    </row>
    <row r="130" spans="1:22" s="182" customFormat="1" ht="11.25" customHeight="1" x14ac:dyDescent="0.3">
      <c r="A130" s="174"/>
      <c r="B130" s="206"/>
      <c r="C130" s="193"/>
      <c r="D130" s="200"/>
      <c r="E130" s="201"/>
      <c r="F130" s="202"/>
      <c r="G130" s="203"/>
      <c r="H130" s="202"/>
      <c r="I130" s="204"/>
      <c r="J130" s="205"/>
      <c r="K130" s="180"/>
      <c r="L130" s="174"/>
      <c r="M130" s="174"/>
      <c r="N130" s="174"/>
      <c r="O130" s="174"/>
      <c r="P130" s="181"/>
      <c r="Q130" s="181"/>
      <c r="R130" s="181"/>
      <c r="S130" s="181"/>
      <c r="T130" s="181"/>
      <c r="U130" s="181"/>
      <c r="V130" s="181"/>
    </row>
    <row r="131" spans="1:22" s="182" customFormat="1" ht="11.25" customHeight="1" x14ac:dyDescent="0.3">
      <c r="A131" s="174"/>
      <c r="B131" s="208">
        <v>7.4</v>
      </c>
      <c r="C131" s="209" t="s">
        <v>24</v>
      </c>
      <c r="D131" s="190"/>
      <c r="E131" s="190"/>
      <c r="F131" s="190"/>
      <c r="G131" s="190"/>
      <c r="H131" s="190"/>
      <c r="I131" s="190"/>
      <c r="J131" s="191"/>
      <c r="K131" s="180"/>
      <c r="L131" s="174"/>
      <c r="M131" s="174"/>
      <c r="N131" s="174"/>
      <c r="O131" s="174"/>
      <c r="P131" s="181"/>
      <c r="Q131" s="181"/>
      <c r="R131" s="181"/>
      <c r="S131" s="181"/>
      <c r="T131" s="181"/>
      <c r="U131" s="181"/>
      <c r="V131" s="181"/>
    </row>
    <row r="132" spans="1:22" s="182" customFormat="1" ht="11.25" customHeight="1" x14ac:dyDescent="0.3">
      <c r="A132" s="174"/>
      <c r="B132" s="175" t="s">
        <v>156</v>
      </c>
      <c r="C132" s="176" t="s">
        <v>97</v>
      </c>
      <c r="D132" s="177">
        <v>0</v>
      </c>
      <c r="E132" s="177" t="s">
        <v>6</v>
      </c>
      <c r="F132" s="128">
        <v>0</v>
      </c>
      <c r="G132" s="128">
        <v>0</v>
      </c>
      <c r="H132" s="178">
        <f>D132*F132</f>
        <v>0</v>
      </c>
      <c r="I132" s="128">
        <f>D132*G132</f>
        <v>0</v>
      </c>
      <c r="J132" s="179">
        <f t="shared" ref="J132" si="31">H132+I132</f>
        <v>0</v>
      </c>
      <c r="K132" s="180"/>
      <c r="L132" s="174"/>
      <c r="M132" s="174"/>
      <c r="N132" s="174"/>
      <c r="O132" s="174"/>
      <c r="P132" s="181"/>
      <c r="Q132" s="181"/>
      <c r="R132" s="181"/>
      <c r="S132" s="181"/>
      <c r="T132" s="181"/>
      <c r="U132" s="181"/>
      <c r="V132" s="181"/>
    </row>
    <row r="133" spans="1:22" s="182" customFormat="1" ht="11.25" customHeight="1" x14ac:dyDescent="0.3">
      <c r="A133" s="174"/>
      <c r="B133" s="175" t="s">
        <v>157</v>
      </c>
      <c r="C133" s="176" t="s">
        <v>151</v>
      </c>
      <c r="D133" s="177">
        <v>0</v>
      </c>
      <c r="E133" s="177" t="s">
        <v>6</v>
      </c>
      <c r="F133" s="128">
        <v>0</v>
      </c>
      <c r="G133" s="128">
        <v>0</v>
      </c>
      <c r="H133" s="178">
        <f t="shared" ref="H133:H134" si="32">D133*F133</f>
        <v>0</v>
      </c>
      <c r="I133" s="128">
        <f t="shared" ref="I133:I134" si="33">D133*G133</f>
        <v>0</v>
      </c>
      <c r="J133" s="179">
        <f t="shared" ref="J133:J134" si="34">H133+I133</f>
        <v>0</v>
      </c>
      <c r="K133" s="180"/>
      <c r="L133" s="174"/>
      <c r="M133" s="174"/>
      <c r="N133" s="174"/>
      <c r="O133" s="174"/>
      <c r="P133" s="181"/>
      <c r="Q133" s="181"/>
      <c r="R133" s="181"/>
      <c r="S133" s="181"/>
      <c r="T133" s="181"/>
      <c r="U133" s="181"/>
      <c r="V133" s="181"/>
    </row>
    <row r="134" spans="1:22" s="182" customFormat="1" ht="11.25" customHeight="1" x14ac:dyDescent="0.3">
      <c r="A134" s="174"/>
      <c r="B134" s="175" t="s">
        <v>158</v>
      </c>
      <c r="C134" s="176" t="s">
        <v>98</v>
      </c>
      <c r="D134" s="177">
        <v>0</v>
      </c>
      <c r="E134" s="177" t="s">
        <v>99</v>
      </c>
      <c r="F134" s="128">
        <v>0</v>
      </c>
      <c r="G134" s="128">
        <v>0</v>
      </c>
      <c r="H134" s="178">
        <f t="shared" si="32"/>
        <v>0</v>
      </c>
      <c r="I134" s="128">
        <f t="shared" si="33"/>
        <v>0</v>
      </c>
      <c r="J134" s="179">
        <f t="shared" si="34"/>
        <v>0</v>
      </c>
      <c r="K134" s="180"/>
      <c r="L134" s="174"/>
      <c r="M134" s="174"/>
      <c r="N134" s="174"/>
      <c r="O134" s="174"/>
      <c r="P134" s="181"/>
      <c r="Q134" s="181"/>
      <c r="R134" s="181"/>
      <c r="S134" s="181"/>
      <c r="T134" s="181"/>
      <c r="U134" s="181"/>
      <c r="V134" s="181"/>
    </row>
    <row r="135" spans="1:22" ht="11.25" customHeight="1" x14ac:dyDescent="0.3">
      <c r="A135" s="43"/>
      <c r="B135" s="94"/>
      <c r="C135" s="78">
        <f>SUM(J132:J134)</f>
        <v>0</v>
      </c>
      <c r="D135" s="67"/>
      <c r="E135" s="98"/>
      <c r="F135" s="79"/>
      <c r="G135" s="79"/>
      <c r="H135" s="79"/>
      <c r="I135" s="65"/>
      <c r="J135" s="87"/>
      <c r="K135" s="44"/>
      <c r="L135" s="43"/>
      <c r="M135" s="43"/>
      <c r="N135" s="43"/>
      <c r="O135" s="43"/>
      <c r="P135" s="2"/>
      <c r="Q135" s="2"/>
      <c r="R135" s="2"/>
      <c r="S135" s="2"/>
      <c r="T135" s="2"/>
      <c r="U135" s="2"/>
      <c r="V135" s="2"/>
    </row>
    <row r="136" spans="1:22" ht="11.25" customHeight="1" x14ac:dyDescent="0.3">
      <c r="A136" s="43"/>
      <c r="B136" s="81" t="s">
        <v>13</v>
      </c>
      <c r="C136" s="88" t="e">
        <f>C135/G379</f>
        <v>#DIV/0!</v>
      </c>
      <c r="D136" s="85"/>
      <c r="E136" s="86"/>
      <c r="F136" s="84"/>
      <c r="G136" s="14"/>
      <c r="H136" s="84"/>
      <c r="I136" s="56"/>
      <c r="J136" s="95"/>
      <c r="K136" s="44"/>
      <c r="L136" s="43"/>
      <c r="M136" s="43"/>
      <c r="N136" s="43"/>
      <c r="O136" s="43"/>
      <c r="P136" s="2"/>
      <c r="Q136" s="2"/>
      <c r="R136" s="2"/>
      <c r="S136" s="2"/>
      <c r="T136" s="2"/>
      <c r="U136" s="2"/>
      <c r="V136" s="2"/>
    </row>
    <row r="137" spans="1:22" ht="11.25" customHeight="1" x14ac:dyDescent="0.3">
      <c r="A137" s="43"/>
      <c r="B137" s="77"/>
      <c r="C137" s="78"/>
      <c r="D137" s="64"/>
      <c r="E137" s="85"/>
      <c r="F137" s="79"/>
      <c r="G137" s="79"/>
      <c r="H137" s="79"/>
      <c r="I137" s="65"/>
      <c r="J137" s="96"/>
      <c r="K137" s="44"/>
      <c r="L137" s="43"/>
      <c r="M137" s="43"/>
      <c r="N137" s="43"/>
      <c r="O137" s="43"/>
      <c r="P137" s="2"/>
      <c r="Q137" s="2"/>
      <c r="R137" s="2"/>
      <c r="S137" s="2"/>
      <c r="T137" s="2"/>
      <c r="U137" s="2"/>
      <c r="V137" s="2"/>
    </row>
    <row r="138" spans="1:22" ht="11.25" customHeight="1" x14ac:dyDescent="0.3">
      <c r="A138" s="43"/>
      <c r="B138" s="71">
        <v>8</v>
      </c>
      <c r="C138" s="73" t="s">
        <v>25</v>
      </c>
      <c r="D138" s="74" t="s">
        <v>0</v>
      </c>
      <c r="E138" s="72" t="s">
        <v>1</v>
      </c>
      <c r="F138" s="75" t="s">
        <v>2</v>
      </c>
      <c r="G138" s="75" t="s">
        <v>3</v>
      </c>
      <c r="H138" s="75" t="s">
        <v>2</v>
      </c>
      <c r="I138" s="75" t="s">
        <v>3</v>
      </c>
      <c r="J138" s="76" t="s">
        <v>4</v>
      </c>
      <c r="K138" s="44"/>
      <c r="L138" s="43"/>
      <c r="M138" s="43"/>
      <c r="N138" s="43"/>
      <c r="O138" s="43"/>
      <c r="P138" s="2"/>
      <c r="Q138" s="2"/>
      <c r="R138" s="2"/>
      <c r="S138" s="2"/>
      <c r="T138" s="2"/>
      <c r="U138" s="2"/>
      <c r="V138" s="2"/>
    </row>
    <row r="139" spans="1:22" ht="11.25" customHeight="1" x14ac:dyDescent="0.3">
      <c r="A139" s="43"/>
      <c r="B139" s="7">
        <v>8.1</v>
      </c>
      <c r="C139" s="155" t="s">
        <v>26</v>
      </c>
      <c r="D139" s="16">
        <v>1</v>
      </c>
      <c r="E139" s="8" t="s">
        <v>8</v>
      </c>
      <c r="F139" s="11">
        <v>350</v>
      </c>
      <c r="G139" s="11">
        <v>0</v>
      </c>
      <c r="H139" s="12">
        <f t="shared" ref="H139:H141" si="35">D139*F139</f>
        <v>350</v>
      </c>
      <c r="I139" s="11">
        <f t="shared" ref="I139:I141" si="36">D139*G139</f>
        <v>0</v>
      </c>
      <c r="J139" s="13">
        <f t="shared" ref="J139:J141" si="37">H139+I139</f>
        <v>350</v>
      </c>
      <c r="K139" s="44"/>
      <c r="L139" s="43"/>
      <c r="M139" s="43"/>
      <c r="N139" s="43"/>
      <c r="O139" s="43"/>
      <c r="P139" s="2"/>
      <c r="Q139" s="2"/>
      <c r="R139" s="2"/>
      <c r="S139" s="2"/>
      <c r="T139" s="2"/>
      <c r="U139" s="2"/>
      <c r="V139" s="2"/>
    </row>
    <row r="140" spans="1:22" s="182" customFormat="1" ht="11.25" customHeight="1" x14ac:dyDescent="0.3">
      <c r="A140" s="174"/>
      <c r="B140" s="175">
        <v>8.1999999999999993</v>
      </c>
      <c r="C140" s="189" t="s">
        <v>27</v>
      </c>
      <c r="D140" s="126">
        <v>0</v>
      </c>
      <c r="E140" s="177" t="s">
        <v>8</v>
      </c>
      <c r="F140" s="128">
        <v>0</v>
      </c>
      <c r="G140" s="128">
        <v>0</v>
      </c>
      <c r="H140" s="178">
        <f t="shared" si="35"/>
        <v>0</v>
      </c>
      <c r="I140" s="128">
        <f t="shared" si="36"/>
        <v>0</v>
      </c>
      <c r="J140" s="179">
        <f t="shared" si="37"/>
        <v>0</v>
      </c>
      <c r="K140" s="180"/>
      <c r="L140" s="174"/>
      <c r="M140" s="174"/>
      <c r="N140" s="174"/>
      <c r="O140" s="174"/>
      <c r="P140" s="181"/>
      <c r="Q140" s="181"/>
      <c r="R140" s="181"/>
      <c r="S140" s="181"/>
      <c r="T140" s="181"/>
      <c r="U140" s="181"/>
      <c r="V140" s="181"/>
    </row>
    <row r="141" spans="1:22" ht="11.25" customHeight="1" x14ac:dyDescent="0.3">
      <c r="A141" s="43"/>
      <c r="B141" s="7">
        <v>8.3000000000000007</v>
      </c>
      <c r="C141" s="97" t="s">
        <v>127</v>
      </c>
      <c r="D141" s="16">
        <v>1</v>
      </c>
      <c r="E141" s="8" t="s">
        <v>8</v>
      </c>
      <c r="F141" s="11">
        <v>3500</v>
      </c>
      <c r="G141" s="11">
        <v>0</v>
      </c>
      <c r="H141" s="12">
        <f t="shared" si="35"/>
        <v>3500</v>
      </c>
      <c r="I141" s="11">
        <f t="shared" si="36"/>
        <v>0</v>
      </c>
      <c r="J141" s="13">
        <f t="shared" si="37"/>
        <v>3500</v>
      </c>
      <c r="K141" s="44"/>
      <c r="L141" s="43"/>
      <c r="M141" s="43"/>
      <c r="N141" s="43"/>
      <c r="O141" s="43"/>
      <c r="P141" s="2"/>
      <c r="Q141" s="2"/>
      <c r="R141" s="2"/>
      <c r="S141" s="2"/>
      <c r="T141" s="2"/>
      <c r="U141" s="2"/>
      <c r="V141" s="2"/>
    </row>
    <row r="142" spans="1:22" ht="11.25" customHeight="1" x14ac:dyDescent="0.3">
      <c r="A142" s="43"/>
      <c r="B142" s="77" t="s">
        <v>12</v>
      </c>
      <c r="C142" s="78">
        <f>SUM(J139:J141)</f>
        <v>3850</v>
      </c>
      <c r="D142" s="20"/>
      <c r="E142" s="63"/>
      <c r="F142" s="79"/>
      <c r="G142" s="79"/>
      <c r="H142" s="79"/>
      <c r="I142" s="65"/>
      <c r="J142" s="87"/>
      <c r="K142" s="44"/>
      <c r="L142" s="43"/>
      <c r="M142" s="43"/>
      <c r="N142" s="43"/>
      <c r="O142" s="43"/>
      <c r="P142" s="2"/>
      <c r="Q142" s="2"/>
      <c r="R142" s="2"/>
      <c r="S142" s="2"/>
      <c r="T142" s="2"/>
      <c r="U142" s="2"/>
      <c r="V142" s="2"/>
    </row>
    <row r="143" spans="1:22" ht="11.25" customHeight="1" x14ac:dyDescent="0.3">
      <c r="A143" s="43"/>
      <c r="B143" s="81" t="s">
        <v>13</v>
      </c>
      <c r="C143" s="88">
        <f>C142/E316</f>
        <v>1.021943923149817E-2</v>
      </c>
      <c r="D143" s="102"/>
      <c r="E143" s="63"/>
      <c r="F143" s="65"/>
      <c r="G143" s="65"/>
      <c r="H143" s="68"/>
      <c r="I143" s="65"/>
      <c r="J143" s="103"/>
      <c r="K143" s="44"/>
      <c r="L143" s="43"/>
      <c r="M143" s="43"/>
      <c r="N143" s="43"/>
      <c r="O143" s="43"/>
      <c r="P143" s="2"/>
      <c r="Q143" s="2"/>
      <c r="R143" s="2"/>
      <c r="S143" s="2"/>
      <c r="T143" s="2"/>
      <c r="U143" s="2"/>
      <c r="V143" s="2"/>
    </row>
    <row r="144" spans="1:22" ht="11.25" customHeight="1" x14ac:dyDescent="0.3">
      <c r="A144" s="43"/>
      <c r="B144" s="104"/>
      <c r="C144" s="2"/>
      <c r="D144" s="69"/>
      <c r="E144" s="2"/>
      <c r="F144" s="69"/>
      <c r="G144" s="100"/>
      <c r="H144" s="69"/>
      <c r="I144" s="100"/>
      <c r="J144" s="101"/>
      <c r="K144" s="44"/>
      <c r="L144" s="43"/>
      <c r="M144" s="43"/>
      <c r="N144" s="43"/>
      <c r="O144" s="43"/>
      <c r="P144" s="2"/>
      <c r="Q144" s="2"/>
      <c r="R144" s="2"/>
      <c r="S144" s="2"/>
      <c r="T144" s="2"/>
      <c r="U144" s="2"/>
      <c r="V144" s="2"/>
    </row>
    <row r="145" spans="1:22" ht="11.25" customHeight="1" x14ac:dyDescent="0.3">
      <c r="A145" s="43"/>
      <c r="B145" s="71">
        <v>9</v>
      </c>
      <c r="C145" s="73" t="s">
        <v>28</v>
      </c>
      <c r="D145" s="74" t="s">
        <v>0</v>
      </c>
      <c r="E145" s="72" t="s">
        <v>1</v>
      </c>
      <c r="F145" s="75" t="s">
        <v>2</v>
      </c>
      <c r="G145" s="75" t="s">
        <v>3</v>
      </c>
      <c r="H145" s="75" t="s">
        <v>2</v>
      </c>
      <c r="I145" s="75" t="s">
        <v>3</v>
      </c>
      <c r="J145" s="76" t="s">
        <v>4</v>
      </c>
      <c r="K145" s="44"/>
      <c r="L145" s="43"/>
      <c r="M145" s="43"/>
      <c r="N145" s="43"/>
      <c r="O145" s="43"/>
      <c r="P145" s="2"/>
      <c r="Q145" s="2"/>
      <c r="R145" s="2"/>
      <c r="S145" s="2"/>
      <c r="T145" s="2"/>
      <c r="U145" s="2"/>
      <c r="V145" s="2"/>
    </row>
    <row r="146" spans="1:22" ht="11.25" customHeight="1" x14ac:dyDescent="0.3">
      <c r="A146" s="43"/>
      <c r="B146" s="21">
        <v>9.1</v>
      </c>
      <c r="C146" s="154" t="s">
        <v>258</v>
      </c>
      <c r="D146" s="16">
        <v>5</v>
      </c>
      <c r="E146" s="8" t="s">
        <v>46</v>
      </c>
      <c r="F146" s="173">
        <v>450</v>
      </c>
      <c r="G146" s="22">
        <v>0</v>
      </c>
      <c r="H146" s="23">
        <f t="shared" ref="H146:H151" si="38">D146*F146</f>
        <v>2250</v>
      </c>
      <c r="I146" s="23">
        <f t="shared" ref="I146:I151" si="39">D146*G146</f>
        <v>0</v>
      </c>
      <c r="J146" s="24">
        <f t="shared" ref="J146:J151" si="40">I146+H146</f>
        <v>2250</v>
      </c>
      <c r="K146" s="44"/>
      <c r="L146" s="43"/>
      <c r="M146" s="43"/>
      <c r="N146" s="43"/>
      <c r="O146" s="43"/>
      <c r="P146" s="2"/>
      <c r="Q146" s="2"/>
      <c r="R146" s="2"/>
      <c r="S146" s="2"/>
      <c r="T146" s="2"/>
      <c r="U146" s="2"/>
      <c r="V146" s="2"/>
    </row>
    <row r="147" spans="1:22" s="182" customFormat="1" ht="11.25" customHeight="1" x14ac:dyDescent="0.3">
      <c r="A147" s="174"/>
      <c r="B147" s="183">
        <v>9.1999999999999993</v>
      </c>
      <c r="C147" s="187" t="s">
        <v>29</v>
      </c>
      <c r="D147" s="126">
        <v>0</v>
      </c>
      <c r="E147" s="177" t="s">
        <v>8</v>
      </c>
      <c r="F147" s="134">
        <v>0</v>
      </c>
      <c r="G147" s="134">
        <v>0</v>
      </c>
      <c r="H147" s="188">
        <f t="shared" si="38"/>
        <v>0</v>
      </c>
      <c r="I147" s="188">
        <f t="shared" si="39"/>
        <v>0</v>
      </c>
      <c r="J147" s="186">
        <f t="shared" si="40"/>
        <v>0</v>
      </c>
      <c r="K147" s="180"/>
      <c r="L147" s="174"/>
      <c r="M147" s="174"/>
      <c r="N147" s="174"/>
      <c r="O147" s="174"/>
      <c r="P147" s="181"/>
      <c r="Q147" s="181"/>
      <c r="R147" s="181"/>
      <c r="S147" s="181"/>
      <c r="T147" s="181"/>
      <c r="U147" s="181"/>
      <c r="V147" s="181"/>
    </row>
    <row r="148" spans="1:22" ht="11.25" customHeight="1" x14ac:dyDescent="0.3">
      <c r="A148" s="43"/>
      <c r="B148" s="21">
        <v>9.3000000000000007</v>
      </c>
      <c r="C148" s="9" t="s">
        <v>30</v>
      </c>
      <c r="D148" s="16">
        <v>5</v>
      </c>
      <c r="E148" s="8" t="s">
        <v>46</v>
      </c>
      <c r="F148" s="22">
        <v>500</v>
      </c>
      <c r="G148" s="22">
        <v>250</v>
      </c>
      <c r="H148" s="23">
        <f>D148*F148</f>
        <v>2500</v>
      </c>
      <c r="I148" s="23">
        <f>D148*G148</f>
        <v>1250</v>
      </c>
      <c r="J148" s="24">
        <f>I148+H148</f>
        <v>3750</v>
      </c>
      <c r="K148" s="44"/>
      <c r="L148" s="43"/>
      <c r="M148" s="43"/>
      <c r="N148" s="43"/>
      <c r="O148" s="43"/>
      <c r="P148" s="2"/>
      <c r="Q148" s="2"/>
      <c r="R148" s="2"/>
      <c r="S148" s="2"/>
      <c r="T148" s="2"/>
      <c r="U148" s="2"/>
      <c r="V148" s="2"/>
    </row>
    <row r="149" spans="1:22" s="182" customFormat="1" ht="11.25" customHeight="1" x14ac:dyDescent="0.3">
      <c r="A149" s="174"/>
      <c r="B149" s="183">
        <v>9.4</v>
      </c>
      <c r="C149" s="184" t="s">
        <v>31</v>
      </c>
      <c r="D149" s="126">
        <v>0</v>
      </c>
      <c r="E149" s="177" t="s">
        <v>8</v>
      </c>
      <c r="F149" s="134">
        <v>0</v>
      </c>
      <c r="G149" s="134">
        <v>0</v>
      </c>
      <c r="H149" s="188">
        <f t="shared" si="38"/>
        <v>0</v>
      </c>
      <c r="I149" s="188">
        <f t="shared" si="39"/>
        <v>0</v>
      </c>
      <c r="J149" s="186">
        <f t="shared" si="40"/>
        <v>0</v>
      </c>
      <c r="K149" s="180"/>
      <c r="L149" s="174"/>
      <c r="M149" s="174"/>
      <c r="N149" s="174"/>
      <c r="O149" s="174"/>
      <c r="P149" s="181"/>
      <c r="Q149" s="181"/>
      <c r="R149" s="181"/>
      <c r="S149" s="181"/>
      <c r="T149" s="181"/>
      <c r="U149" s="181"/>
      <c r="V149" s="181"/>
    </row>
    <row r="150" spans="1:22" ht="11.25" customHeight="1" x14ac:dyDescent="0.3">
      <c r="A150" s="43"/>
      <c r="B150" s="21">
        <v>9.5</v>
      </c>
      <c r="C150" s="9" t="s">
        <v>32</v>
      </c>
      <c r="D150" s="16">
        <v>5</v>
      </c>
      <c r="E150" s="8" t="s">
        <v>8</v>
      </c>
      <c r="F150" s="22">
        <v>150</v>
      </c>
      <c r="G150" s="22">
        <v>0</v>
      </c>
      <c r="H150" s="23">
        <f t="shared" si="38"/>
        <v>750</v>
      </c>
      <c r="I150" s="23">
        <f t="shared" si="39"/>
        <v>0</v>
      </c>
      <c r="J150" s="24">
        <f t="shared" si="40"/>
        <v>750</v>
      </c>
      <c r="K150" s="44"/>
      <c r="L150" s="43"/>
      <c r="M150" s="43"/>
      <c r="N150" s="43"/>
      <c r="O150" s="43"/>
      <c r="P150" s="2"/>
      <c r="Q150" s="2"/>
      <c r="R150" s="2"/>
      <c r="S150" s="2"/>
      <c r="T150" s="2"/>
      <c r="U150" s="2"/>
      <c r="V150" s="2"/>
    </row>
    <row r="151" spans="1:22" ht="11.25" customHeight="1" x14ac:dyDescent="0.3">
      <c r="A151" s="43"/>
      <c r="B151" s="21">
        <v>9.6</v>
      </c>
      <c r="C151" s="105" t="s">
        <v>126</v>
      </c>
      <c r="D151" s="16">
        <v>1</v>
      </c>
      <c r="E151" s="8" t="s">
        <v>8</v>
      </c>
      <c r="F151" s="22">
        <v>0</v>
      </c>
      <c r="G151" s="22">
        <v>0</v>
      </c>
      <c r="H151" s="23">
        <f t="shared" si="38"/>
        <v>0</v>
      </c>
      <c r="I151" s="23">
        <f t="shared" si="39"/>
        <v>0</v>
      </c>
      <c r="J151" s="24">
        <f t="shared" si="40"/>
        <v>0</v>
      </c>
      <c r="K151" s="44"/>
      <c r="L151" s="43"/>
      <c r="M151" s="43"/>
      <c r="N151" s="43"/>
      <c r="O151" s="43"/>
      <c r="P151" s="2"/>
      <c r="Q151" s="2"/>
      <c r="R151" s="2"/>
      <c r="S151" s="2"/>
      <c r="T151" s="2"/>
      <c r="U151" s="2"/>
      <c r="V151" s="2"/>
    </row>
    <row r="152" spans="1:22" ht="11.25" customHeight="1" x14ac:dyDescent="0.3">
      <c r="A152" s="43"/>
      <c r="B152" s="77" t="s">
        <v>12</v>
      </c>
      <c r="C152" s="78">
        <f>SUM(J146:J151)</f>
        <v>6750</v>
      </c>
      <c r="D152" s="52"/>
      <c r="E152" s="67"/>
      <c r="F152" s="79"/>
      <c r="G152" s="79"/>
      <c r="H152" s="68"/>
      <c r="I152" s="65"/>
      <c r="J152" s="87"/>
      <c r="K152" s="44"/>
      <c r="L152" s="43"/>
      <c r="M152" s="43"/>
      <c r="N152" s="43"/>
      <c r="O152" s="43"/>
      <c r="P152" s="2"/>
      <c r="Q152" s="2"/>
      <c r="R152" s="2"/>
      <c r="S152" s="2"/>
      <c r="T152" s="2"/>
      <c r="U152" s="2"/>
      <c r="V152" s="2"/>
    </row>
    <row r="153" spans="1:22" ht="11.25" customHeight="1" x14ac:dyDescent="0.3">
      <c r="A153" s="43"/>
      <c r="B153" s="81" t="s">
        <v>13</v>
      </c>
      <c r="C153" s="88">
        <f>C152/E316</f>
        <v>1.791719865262666E-2</v>
      </c>
      <c r="D153" s="64"/>
      <c r="E153" s="85"/>
      <c r="F153" s="79"/>
      <c r="G153" s="79"/>
      <c r="H153" s="79"/>
      <c r="I153" s="65"/>
      <c r="J153" s="103"/>
      <c r="K153" s="44"/>
      <c r="L153" s="43"/>
      <c r="M153" s="43"/>
      <c r="N153" s="43"/>
      <c r="O153" s="43"/>
      <c r="P153" s="2"/>
      <c r="Q153" s="2"/>
      <c r="R153" s="2"/>
      <c r="S153" s="2"/>
      <c r="T153" s="2"/>
      <c r="U153" s="2"/>
      <c r="V153" s="2"/>
    </row>
    <row r="154" spans="1:22" ht="11.25" customHeight="1" x14ac:dyDescent="0.3">
      <c r="A154" s="43"/>
      <c r="B154" s="45"/>
      <c r="C154" s="46"/>
      <c r="D154" s="47"/>
      <c r="E154" s="48"/>
      <c r="F154" s="49"/>
      <c r="G154" s="49"/>
      <c r="H154" s="49"/>
      <c r="I154" s="50"/>
      <c r="J154" s="51"/>
      <c r="K154" s="44"/>
      <c r="L154" s="43"/>
      <c r="M154" s="43"/>
      <c r="N154" s="43"/>
      <c r="O154" s="43"/>
      <c r="P154" s="2"/>
      <c r="Q154" s="2"/>
      <c r="R154" s="2"/>
      <c r="S154" s="2"/>
      <c r="T154" s="2"/>
      <c r="U154" s="2"/>
      <c r="V154" s="2"/>
    </row>
    <row r="155" spans="1:22" ht="11.25" customHeight="1" x14ac:dyDescent="0.3">
      <c r="A155" s="43"/>
      <c r="B155" s="71">
        <v>10</v>
      </c>
      <c r="C155" s="73" t="s">
        <v>33</v>
      </c>
      <c r="D155" s="74" t="s">
        <v>0</v>
      </c>
      <c r="E155" s="72" t="s">
        <v>1</v>
      </c>
      <c r="F155" s="75" t="s">
        <v>2</v>
      </c>
      <c r="G155" s="75" t="s">
        <v>3</v>
      </c>
      <c r="H155" s="75" t="s">
        <v>2</v>
      </c>
      <c r="I155" s="75" t="s">
        <v>3</v>
      </c>
      <c r="J155" s="76" t="s">
        <v>4</v>
      </c>
      <c r="K155" s="44"/>
      <c r="L155" s="43"/>
      <c r="M155" s="43"/>
      <c r="N155" s="43"/>
      <c r="O155" s="43"/>
      <c r="P155" s="2"/>
      <c r="Q155" s="2"/>
      <c r="R155" s="2"/>
      <c r="S155" s="2"/>
      <c r="T155" s="2"/>
      <c r="U155" s="2"/>
      <c r="V155" s="2"/>
    </row>
    <row r="156" spans="1:22" ht="11.25" customHeight="1" x14ac:dyDescent="0.3">
      <c r="A156" s="43"/>
      <c r="B156" s="21">
        <v>10.1</v>
      </c>
      <c r="C156" s="143" t="s">
        <v>34</v>
      </c>
      <c r="D156" s="10">
        <v>1</v>
      </c>
      <c r="E156" s="8" t="s">
        <v>8</v>
      </c>
      <c r="F156" s="142">
        <v>3000</v>
      </c>
      <c r="G156" s="11">
        <v>0</v>
      </c>
      <c r="H156" s="12">
        <f t="shared" ref="H156:H161" si="41">F156*D156</f>
        <v>3000</v>
      </c>
      <c r="I156" s="11">
        <f>G156*D156</f>
        <v>0</v>
      </c>
      <c r="J156" s="24">
        <f>H156+I156</f>
        <v>3000</v>
      </c>
      <c r="K156" s="44"/>
      <c r="L156" s="43"/>
      <c r="M156" s="43"/>
      <c r="N156" s="43"/>
      <c r="O156" s="43"/>
      <c r="P156" s="2"/>
      <c r="Q156" s="2"/>
      <c r="R156" s="2"/>
      <c r="S156" s="2"/>
      <c r="T156" s="2"/>
      <c r="U156" s="2"/>
      <c r="V156" s="2"/>
    </row>
    <row r="157" spans="1:22" ht="11.25" customHeight="1" x14ac:dyDescent="0.3">
      <c r="A157" s="43"/>
      <c r="B157" s="21">
        <v>10.199999999999999</v>
      </c>
      <c r="C157" s="143" t="s">
        <v>35</v>
      </c>
      <c r="D157" s="10">
        <v>1</v>
      </c>
      <c r="E157" s="8" t="s">
        <v>8</v>
      </c>
      <c r="F157" s="142">
        <v>11500</v>
      </c>
      <c r="G157" s="11">
        <v>0</v>
      </c>
      <c r="H157" s="12">
        <f t="shared" si="41"/>
        <v>11500</v>
      </c>
      <c r="I157" s="11">
        <f t="shared" ref="I157:I161" si="42">G157*D157</f>
        <v>0</v>
      </c>
      <c r="J157" s="24">
        <f t="shared" ref="J157:J161" si="43">H157+I157</f>
        <v>11500</v>
      </c>
      <c r="K157" s="44"/>
      <c r="L157" s="43"/>
      <c r="M157" s="43"/>
      <c r="N157" s="43"/>
      <c r="O157" s="43"/>
      <c r="P157" s="2"/>
      <c r="Q157" s="2"/>
      <c r="R157" s="2"/>
      <c r="S157" s="2"/>
      <c r="T157" s="2"/>
      <c r="U157" s="2"/>
      <c r="V157" s="2"/>
    </row>
    <row r="158" spans="1:22" ht="11.25" customHeight="1" x14ac:dyDescent="0.3">
      <c r="A158" s="43"/>
      <c r="B158" s="21">
        <v>10.3</v>
      </c>
      <c r="C158" s="143" t="s">
        <v>36</v>
      </c>
      <c r="D158" s="10">
        <v>1</v>
      </c>
      <c r="E158" s="8" t="s">
        <v>8</v>
      </c>
      <c r="F158" s="142">
        <v>2500</v>
      </c>
      <c r="G158" s="11">
        <v>0</v>
      </c>
      <c r="H158" s="12">
        <f t="shared" si="41"/>
        <v>2500</v>
      </c>
      <c r="I158" s="11">
        <f t="shared" si="42"/>
        <v>0</v>
      </c>
      <c r="J158" s="24">
        <f t="shared" si="43"/>
        <v>2500</v>
      </c>
      <c r="K158" s="44"/>
      <c r="L158" s="43"/>
      <c r="M158" s="43"/>
      <c r="N158" s="43"/>
      <c r="O158" s="43"/>
      <c r="P158" s="2"/>
      <c r="Q158" s="2"/>
      <c r="R158" s="2"/>
      <c r="S158" s="2"/>
      <c r="T158" s="2"/>
      <c r="U158" s="2"/>
      <c r="V158" s="2"/>
    </row>
    <row r="159" spans="1:22" ht="11.25" customHeight="1" x14ac:dyDescent="0.3">
      <c r="A159" s="43"/>
      <c r="B159" s="21">
        <v>10.4</v>
      </c>
      <c r="C159" s="143" t="s">
        <v>148</v>
      </c>
      <c r="D159" s="10">
        <v>1</v>
      </c>
      <c r="E159" s="8" t="s">
        <v>8</v>
      </c>
      <c r="F159" s="142">
        <v>650</v>
      </c>
      <c r="G159" s="11"/>
      <c r="H159" s="12">
        <f t="shared" ref="H159" si="44">F159*D159</f>
        <v>650</v>
      </c>
      <c r="I159" s="11">
        <f t="shared" ref="I159" si="45">G159*D159</f>
        <v>0</v>
      </c>
      <c r="J159" s="24">
        <f t="shared" ref="J159" si="46">H159+I159</f>
        <v>650</v>
      </c>
      <c r="K159" s="44"/>
      <c r="L159" s="43"/>
      <c r="M159" s="43"/>
      <c r="N159" s="43"/>
      <c r="O159" s="43"/>
      <c r="P159" s="2"/>
      <c r="Q159" s="2"/>
      <c r="R159" s="2"/>
      <c r="S159" s="2"/>
      <c r="T159" s="2"/>
      <c r="U159" s="2"/>
      <c r="V159" s="2"/>
    </row>
    <row r="160" spans="1:22" ht="11.25" customHeight="1" x14ac:dyDescent="0.3">
      <c r="A160" s="43"/>
      <c r="B160" s="21">
        <v>10.5</v>
      </c>
      <c r="C160" s="143" t="s">
        <v>37</v>
      </c>
      <c r="D160" s="10">
        <v>35</v>
      </c>
      <c r="E160" s="8" t="s">
        <v>17</v>
      </c>
      <c r="F160" s="142">
        <f>22.9</f>
        <v>22.9</v>
      </c>
      <c r="G160" s="11">
        <v>0</v>
      </c>
      <c r="H160" s="12">
        <f t="shared" si="41"/>
        <v>801.5</v>
      </c>
      <c r="I160" s="11">
        <f t="shared" si="42"/>
        <v>0</v>
      </c>
      <c r="J160" s="24">
        <f t="shared" si="43"/>
        <v>801.5</v>
      </c>
      <c r="K160" s="44"/>
      <c r="L160" s="43"/>
      <c r="M160" s="43"/>
      <c r="N160" s="43"/>
      <c r="O160" s="43"/>
      <c r="P160" s="2"/>
      <c r="Q160" s="2"/>
      <c r="R160" s="2"/>
      <c r="S160" s="2"/>
      <c r="T160" s="2"/>
      <c r="U160" s="2"/>
      <c r="V160" s="2"/>
    </row>
    <row r="161" spans="1:22" ht="11.25" customHeight="1" x14ac:dyDescent="0.3">
      <c r="A161" s="43"/>
      <c r="B161" s="21">
        <v>10.6</v>
      </c>
      <c r="C161" s="105" t="s">
        <v>91</v>
      </c>
      <c r="D161" s="10">
        <v>1</v>
      </c>
      <c r="E161" s="8" t="s">
        <v>8</v>
      </c>
      <c r="F161" s="142">
        <v>0</v>
      </c>
      <c r="G161" s="11">
        <v>12300</v>
      </c>
      <c r="H161" s="12">
        <f t="shared" si="41"/>
        <v>0</v>
      </c>
      <c r="I161" s="11">
        <f t="shared" si="42"/>
        <v>12300</v>
      </c>
      <c r="J161" s="24">
        <f t="shared" si="43"/>
        <v>12300</v>
      </c>
      <c r="K161" s="44"/>
      <c r="L161" s="43"/>
      <c r="M161" s="43"/>
      <c r="N161" s="43"/>
      <c r="O161" s="43"/>
      <c r="P161" s="2"/>
      <c r="Q161" s="2"/>
      <c r="R161" s="2"/>
      <c r="S161" s="2"/>
      <c r="T161" s="2"/>
      <c r="U161" s="2"/>
      <c r="V161" s="2"/>
    </row>
    <row r="162" spans="1:22" ht="11.25" customHeight="1" x14ac:dyDescent="0.3">
      <c r="A162" s="43"/>
      <c r="B162" s="77" t="s">
        <v>12</v>
      </c>
      <c r="C162" s="78">
        <f>SUM(J156:J161)</f>
        <v>30751.5</v>
      </c>
      <c r="D162" s="64"/>
      <c r="E162" s="85"/>
      <c r="F162" s="79"/>
      <c r="G162" s="79"/>
      <c r="H162" s="79"/>
      <c r="I162" s="65"/>
      <c r="J162" s="103"/>
      <c r="K162" s="44"/>
      <c r="L162" s="43"/>
      <c r="M162" s="43"/>
      <c r="N162" s="43"/>
      <c r="O162" s="43"/>
      <c r="P162" s="2"/>
      <c r="Q162" s="2"/>
      <c r="R162" s="2"/>
      <c r="S162" s="2"/>
      <c r="T162" s="2"/>
      <c r="U162" s="2"/>
      <c r="V162" s="2"/>
    </row>
    <row r="163" spans="1:22" ht="11.25" customHeight="1" x14ac:dyDescent="0.3">
      <c r="A163" s="43"/>
      <c r="B163" s="81" t="s">
        <v>13</v>
      </c>
      <c r="C163" s="88">
        <f>C162/E316</f>
        <v>8.1626775461666481E-2</v>
      </c>
      <c r="D163" s="64"/>
      <c r="E163" s="85"/>
      <c r="F163" s="79"/>
      <c r="G163" s="79"/>
      <c r="H163" s="79"/>
      <c r="I163" s="65"/>
      <c r="J163" s="103"/>
      <c r="K163" s="44"/>
      <c r="L163" s="43"/>
      <c r="M163" s="43"/>
      <c r="N163" s="43"/>
      <c r="O163" s="43"/>
      <c r="P163" s="2"/>
      <c r="Q163" s="2"/>
      <c r="R163" s="2"/>
      <c r="S163" s="2"/>
      <c r="T163" s="2"/>
      <c r="U163" s="2"/>
      <c r="V163" s="2"/>
    </row>
    <row r="164" spans="1:22" ht="11.25" customHeight="1" x14ac:dyDescent="0.3">
      <c r="A164" s="43"/>
      <c r="B164" s="45"/>
      <c r="C164" s="46"/>
      <c r="D164" s="47"/>
      <c r="E164" s="48"/>
      <c r="F164" s="49"/>
      <c r="G164" s="49"/>
      <c r="H164" s="49"/>
      <c r="I164" s="50"/>
      <c r="J164" s="51"/>
      <c r="K164" s="44"/>
      <c r="L164" s="43"/>
      <c r="M164" s="43"/>
      <c r="N164" s="43"/>
      <c r="O164" s="43"/>
      <c r="P164" s="2"/>
      <c r="Q164" s="2"/>
      <c r="R164" s="2"/>
      <c r="S164" s="2"/>
      <c r="T164" s="2"/>
      <c r="U164" s="2"/>
      <c r="V164" s="2"/>
    </row>
    <row r="165" spans="1:22" ht="11.25" customHeight="1" x14ac:dyDescent="0.3">
      <c r="A165" s="43"/>
      <c r="B165" s="71">
        <v>11</v>
      </c>
      <c r="C165" s="73" t="s">
        <v>38</v>
      </c>
      <c r="D165" s="74" t="s">
        <v>0</v>
      </c>
      <c r="E165" s="72" t="s">
        <v>1</v>
      </c>
      <c r="F165" s="75" t="s">
        <v>2</v>
      </c>
      <c r="G165" s="75" t="s">
        <v>3</v>
      </c>
      <c r="H165" s="75" t="s">
        <v>2</v>
      </c>
      <c r="I165" s="75" t="s">
        <v>3</v>
      </c>
      <c r="J165" s="76" t="s">
        <v>4</v>
      </c>
      <c r="K165" s="44"/>
      <c r="L165" s="43"/>
      <c r="M165" s="43"/>
      <c r="N165" s="43"/>
      <c r="O165" s="43"/>
      <c r="P165" s="2"/>
      <c r="Q165" s="2"/>
      <c r="R165" s="2"/>
      <c r="S165" s="2"/>
      <c r="T165" s="2"/>
      <c r="U165" s="2"/>
      <c r="V165" s="2"/>
    </row>
    <row r="166" spans="1:22" ht="11.25" customHeight="1" x14ac:dyDescent="0.3">
      <c r="A166" s="43"/>
      <c r="B166" s="21">
        <v>11.1</v>
      </c>
      <c r="C166" s="143" t="s">
        <v>219</v>
      </c>
      <c r="D166" s="145">
        <v>1</v>
      </c>
      <c r="E166" s="138" t="s">
        <v>8</v>
      </c>
      <c r="F166" s="142">
        <v>3500</v>
      </c>
      <c r="G166" s="11">
        <v>0</v>
      </c>
      <c r="H166" s="12">
        <f>F166*D166</f>
        <v>3500</v>
      </c>
      <c r="I166" s="11">
        <f>G166*D166</f>
        <v>0</v>
      </c>
      <c r="J166" s="24">
        <f t="shared" ref="J166" si="47">H166+I166</f>
        <v>3500</v>
      </c>
      <c r="K166" s="44"/>
      <c r="L166" s="43"/>
      <c r="M166" s="43"/>
      <c r="N166" s="43"/>
      <c r="O166" s="43"/>
      <c r="P166" s="2"/>
      <c r="Q166" s="2"/>
      <c r="R166" s="2"/>
      <c r="S166" s="2"/>
      <c r="T166" s="2"/>
      <c r="U166" s="2"/>
      <c r="V166" s="2"/>
    </row>
    <row r="167" spans="1:22" s="182" customFormat="1" ht="11.25" customHeight="1" x14ac:dyDescent="0.3">
      <c r="A167" s="174"/>
      <c r="B167" s="183">
        <v>11.2</v>
      </c>
      <c r="C167" s="184" t="s">
        <v>39</v>
      </c>
      <c r="D167" s="185">
        <v>0</v>
      </c>
      <c r="E167" s="177" t="s">
        <v>8</v>
      </c>
      <c r="F167" s="128">
        <v>0</v>
      </c>
      <c r="G167" s="128">
        <v>0</v>
      </c>
      <c r="H167" s="178">
        <f t="shared" ref="H167:H170" si="48">F167*D167</f>
        <v>0</v>
      </c>
      <c r="I167" s="128">
        <f t="shared" ref="I167:I170" si="49">G167*D167</f>
        <v>0</v>
      </c>
      <c r="J167" s="186">
        <f t="shared" ref="J167:J170" si="50">H167+I167</f>
        <v>0</v>
      </c>
      <c r="K167" s="180"/>
      <c r="L167" s="174"/>
      <c r="M167" s="174"/>
      <c r="N167" s="174"/>
      <c r="O167" s="174"/>
      <c r="P167" s="181"/>
      <c r="Q167" s="181"/>
      <c r="R167" s="181"/>
      <c r="S167" s="181"/>
      <c r="T167" s="181"/>
      <c r="U167" s="181"/>
      <c r="V167" s="181"/>
    </row>
    <row r="168" spans="1:22" ht="11.25" customHeight="1" x14ac:dyDescent="0.3">
      <c r="A168" s="43"/>
      <c r="B168" s="21">
        <v>11.3</v>
      </c>
      <c r="C168" s="143" t="s">
        <v>220</v>
      </c>
      <c r="D168" s="145">
        <v>1</v>
      </c>
      <c r="E168" s="138" t="s">
        <v>8</v>
      </c>
      <c r="F168" s="142">
        <v>3000</v>
      </c>
      <c r="G168" s="11">
        <v>0</v>
      </c>
      <c r="H168" s="12">
        <f t="shared" si="48"/>
        <v>3000</v>
      </c>
      <c r="I168" s="11">
        <f t="shared" si="49"/>
        <v>0</v>
      </c>
      <c r="J168" s="24">
        <f t="shared" si="50"/>
        <v>3000</v>
      </c>
      <c r="K168" s="44"/>
      <c r="L168" s="43"/>
      <c r="M168" s="43"/>
      <c r="N168" s="43"/>
      <c r="O168" s="43"/>
      <c r="P168" s="2"/>
      <c r="Q168" s="2"/>
      <c r="R168" s="2"/>
      <c r="S168" s="2"/>
      <c r="T168" s="2"/>
      <c r="U168" s="2"/>
      <c r="V168" s="2"/>
    </row>
    <row r="169" spans="1:22" ht="11.25" customHeight="1" x14ac:dyDescent="0.3">
      <c r="A169" s="43"/>
      <c r="B169" s="21">
        <v>11.4</v>
      </c>
      <c r="C169" s="143" t="s">
        <v>40</v>
      </c>
      <c r="D169" s="145">
        <v>1</v>
      </c>
      <c r="E169" s="138" t="s">
        <v>8</v>
      </c>
      <c r="F169" s="142">
        <v>1500</v>
      </c>
      <c r="G169" s="11">
        <v>0</v>
      </c>
      <c r="H169" s="12">
        <f t="shared" si="48"/>
        <v>1500</v>
      </c>
      <c r="I169" s="11">
        <f t="shared" si="49"/>
        <v>0</v>
      </c>
      <c r="J169" s="24">
        <f t="shared" si="50"/>
        <v>1500</v>
      </c>
      <c r="K169" s="44"/>
      <c r="L169" s="43"/>
      <c r="M169" s="43"/>
      <c r="N169" s="43"/>
      <c r="O169" s="43"/>
      <c r="P169" s="2"/>
      <c r="Q169" s="2"/>
      <c r="R169" s="2"/>
      <c r="S169" s="2"/>
      <c r="T169" s="2"/>
      <c r="U169" s="2"/>
      <c r="V169" s="2"/>
    </row>
    <row r="170" spans="1:22" ht="11.25" customHeight="1" x14ac:dyDescent="0.3">
      <c r="A170" s="43"/>
      <c r="B170" s="21">
        <v>11.5</v>
      </c>
      <c r="C170" s="143" t="s">
        <v>89</v>
      </c>
      <c r="D170" s="145">
        <v>2</v>
      </c>
      <c r="E170" s="138" t="s">
        <v>17</v>
      </c>
      <c r="F170" s="142">
        <v>330</v>
      </c>
      <c r="G170" s="11">
        <v>0</v>
      </c>
      <c r="H170" s="12">
        <f t="shared" si="48"/>
        <v>660</v>
      </c>
      <c r="I170" s="11">
        <f t="shared" si="49"/>
        <v>0</v>
      </c>
      <c r="J170" s="24">
        <f t="shared" si="50"/>
        <v>660</v>
      </c>
      <c r="K170" s="44"/>
      <c r="L170" s="43"/>
      <c r="M170" s="43"/>
      <c r="N170" s="43"/>
      <c r="O170" s="43"/>
      <c r="P170" s="2"/>
      <c r="Q170" s="2"/>
      <c r="R170" s="2"/>
      <c r="S170" s="2"/>
      <c r="T170" s="2"/>
      <c r="U170" s="2"/>
      <c r="V170" s="2"/>
    </row>
    <row r="171" spans="1:22" ht="11.25" customHeight="1" x14ac:dyDescent="0.3">
      <c r="A171" s="43"/>
      <c r="B171" s="21">
        <v>11.6</v>
      </c>
      <c r="C171" s="143" t="s">
        <v>262</v>
      </c>
      <c r="D171" s="145">
        <v>1</v>
      </c>
      <c r="E171" s="138" t="s">
        <v>8</v>
      </c>
      <c r="F171" s="142">
        <v>4000</v>
      </c>
      <c r="G171" s="11">
        <v>0</v>
      </c>
      <c r="H171" s="12">
        <f t="shared" ref="H171:H172" si="51">F171*D171</f>
        <v>4000</v>
      </c>
      <c r="I171" s="11">
        <f t="shared" ref="I171:I172" si="52">G171*D171</f>
        <v>0</v>
      </c>
      <c r="J171" s="24">
        <f t="shared" ref="J171:J172" si="53">H171+I171</f>
        <v>4000</v>
      </c>
      <c r="K171" s="44"/>
      <c r="L171" s="43"/>
      <c r="M171" s="43"/>
      <c r="N171" s="43"/>
      <c r="O171" s="43"/>
      <c r="P171" s="2"/>
      <c r="Q171" s="2"/>
      <c r="R171" s="2"/>
      <c r="S171" s="2"/>
      <c r="T171" s="2"/>
      <c r="U171" s="2"/>
      <c r="V171" s="2"/>
    </row>
    <row r="172" spans="1:22" s="182" customFormat="1" ht="11.25" customHeight="1" x14ac:dyDescent="0.3">
      <c r="A172" s="174"/>
      <c r="B172" s="183">
        <v>11.7</v>
      </c>
      <c r="C172" s="184" t="s">
        <v>85</v>
      </c>
      <c r="D172" s="185">
        <v>0</v>
      </c>
      <c r="E172" s="177" t="s">
        <v>8</v>
      </c>
      <c r="F172" s="128">
        <v>0</v>
      </c>
      <c r="G172" s="128">
        <v>0</v>
      </c>
      <c r="H172" s="178">
        <f t="shared" si="51"/>
        <v>0</v>
      </c>
      <c r="I172" s="128">
        <f t="shared" si="52"/>
        <v>0</v>
      </c>
      <c r="J172" s="186">
        <f t="shared" si="53"/>
        <v>0</v>
      </c>
      <c r="K172" s="180"/>
      <c r="L172" s="174"/>
      <c r="M172" s="174"/>
      <c r="N172" s="174"/>
      <c r="O172" s="174"/>
      <c r="P172" s="181"/>
      <c r="Q172" s="181"/>
      <c r="R172" s="181"/>
      <c r="S172" s="181"/>
      <c r="T172" s="181"/>
      <c r="U172" s="181"/>
      <c r="V172" s="181"/>
    </row>
    <row r="173" spans="1:22" s="182" customFormat="1" ht="11.25" customHeight="1" x14ac:dyDescent="0.3">
      <c r="A173" s="174"/>
      <c r="B173" s="183">
        <v>11.8</v>
      </c>
      <c r="C173" s="184" t="s">
        <v>90</v>
      </c>
      <c r="D173" s="185">
        <v>0</v>
      </c>
      <c r="E173" s="177" t="s">
        <v>8</v>
      </c>
      <c r="F173" s="128">
        <v>0</v>
      </c>
      <c r="G173" s="128">
        <v>0</v>
      </c>
      <c r="H173" s="178">
        <f t="shared" ref="H173:H175" si="54">F173*D173</f>
        <v>0</v>
      </c>
      <c r="I173" s="128">
        <f t="shared" ref="I173:I175" si="55">G173*D173</f>
        <v>0</v>
      </c>
      <c r="J173" s="186">
        <f t="shared" ref="J173:J175" si="56">H173+I173</f>
        <v>0</v>
      </c>
      <c r="K173" s="180"/>
      <c r="L173" s="174"/>
      <c r="M173" s="174"/>
      <c r="N173" s="174"/>
      <c r="O173" s="174"/>
      <c r="P173" s="181"/>
      <c r="Q173" s="181"/>
      <c r="R173" s="181"/>
      <c r="S173" s="181"/>
      <c r="T173" s="181"/>
      <c r="U173" s="181"/>
      <c r="V173" s="181"/>
    </row>
    <row r="174" spans="1:22" s="182" customFormat="1" ht="11.25" customHeight="1" x14ac:dyDescent="0.3">
      <c r="A174" s="174"/>
      <c r="B174" s="183">
        <v>11.9</v>
      </c>
      <c r="C174" s="184" t="s">
        <v>41</v>
      </c>
      <c r="D174" s="185">
        <v>0</v>
      </c>
      <c r="E174" s="177" t="s">
        <v>8</v>
      </c>
      <c r="F174" s="128">
        <v>0</v>
      </c>
      <c r="G174" s="128">
        <v>0</v>
      </c>
      <c r="H174" s="178">
        <f t="shared" si="54"/>
        <v>0</v>
      </c>
      <c r="I174" s="128">
        <f t="shared" si="55"/>
        <v>0</v>
      </c>
      <c r="J174" s="186">
        <f t="shared" si="56"/>
        <v>0</v>
      </c>
      <c r="K174" s="180"/>
      <c r="L174" s="174"/>
      <c r="M174" s="174"/>
      <c r="N174" s="174"/>
      <c r="O174" s="174"/>
      <c r="P174" s="181"/>
      <c r="Q174" s="181"/>
      <c r="R174" s="181"/>
      <c r="S174" s="181"/>
      <c r="T174" s="181"/>
      <c r="U174" s="181"/>
      <c r="V174" s="181"/>
    </row>
    <row r="175" spans="1:22" s="182" customFormat="1" ht="11.25" customHeight="1" x14ac:dyDescent="0.3">
      <c r="A175" s="174"/>
      <c r="B175" s="183">
        <v>11.1</v>
      </c>
      <c r="C175" s="187" t="s">
        <v>84</v>
      </c>
      <c r="D175" s="185">
        <v>0</v>
      </c>
      <c r="E175" s="177" t="s">
        <v>6</v>
      </c>
      <c r="F175" s="128">
        <v>0</v>
      </c>
      <c r="G175" s="128">
        <v>0</v>
      </c>
      <c r="H175" s="178">
        <f t="shared" si="54"/>
        <v>0</v>
      </c>
      <c r="I175" s="128">
        <f t="shared" si="55"/>
        <v>0</v>
      </c>
      <c r="J175" s="186">
        <f t="shared" si="56"/>
        <v>0</v>
      </c>
      <c r="K175" s="180"/>
      <c r="L175" s="174"/>
      <c r="M175" s="174"/>
      <c r="N175" s="174"/>
      <c r="O175" s="174"/>
      <c r="P175" s="181"/>
      <c r="Q175" s="181"/>
      <c r="R175" s="181"/>
      <c r="S175" s="181"/>
      <c r="T175" s="181"/>
      <c r="U175" s="181"/>
      <c r="V175" s="181"/>
    </row>
    <row r="176" spans="1:22" ht="14.4" x14ac:dyDescent="0.3">
      <c r="A176" s="43"/>
      <c r="B176" s="21">
        <v>11.12</v>
      </c>
      <c r="C176" s="156" t="s">
        <v>221</v>
      </c>
      <c r="D176" s="10"/>
      <c r="E176" s="8"/>
      <c r="F176" s="11"/>
      <c r="G176" s="11"/>
      <c r="H176" s="12"/>
      <c r="I176" s="11"/>
      <c r="J176" s="24"/>
      <c r="K176" s="44"/>
      <c r="L176" s="43"/>
      <c r="M176" s="43"/>
      <c r="N176" s="43"/>
      <c r="O176" s="43"/>
      <c r="P176" s="2"/>
      <c r="Q176" s="2"/>
      <c r="R176" s="2"/>
      <c r="S176" s="2"/>
      <c r="T176" s="2"/>
      <c r="U176" s="2"/>
      <c r="V176" s="2"/>
    </row>
    <row r="177" spans="1:22" ht="11.25" customHeight="1" x14ac:dyDescent="0.3">
      <c r="A177" s="43"/>
      <c r="B177" s="21">
        <v>11.13</v>
      </c>
      <c r="C177" s="157" t="s">
        <v>261</v>
      </c>
      <c r="D177" s="10">
        <v>1</v>
      </c>
      <c r="E177" s="8" t="s">
        <v>8</v>
      </c>
      <c r="F177" s="11">
        <v>700</v>
      </c>
      <c r="G177" s="11">
        <v>350</v>
      </c>
      <c r="H177" s="12">
        <f>F177*D177</f>
        <v>700</v>
      </c>
      <c r="I177" s="11">
        <f>G177*D177</f>
        <v>350</v>
      </c>
      <c r="J177" s="24">
        <f>I177+H177</f>
        <v>1050</v>
      </c>
      <c r="K177" s="44"/>
      <c r="L177" s="43"/>
      <c r="M177" s="43"/>
      <c r="N177" s="43"/>
      <c r="O177" s="43"/>
      <c r="P177" s="2"/>
      <c r="Q177" s="2"/>
      <c r="R177" s="2"/>
      <c r="S177" s="2"/>
      <c r="T177" s="2"/>
      <c r="U177" s="2"/>
      <c r="V177" s="2"/>
    </row>
    <row r="178" spans="1:22" ht="11.25" customHeight="1" x14ac:dyDescent="0.3">
      <c r="A178" s="43"/>
      <c r="B178" s="77" t="s">
        <v>12</v>
      </c>
      <c r="C178" s="78">
        <f>SUM(J166:J175)</f>
        <v>12660</v>
      </c>
      <c r="D178" s="64"/>
      <c r="E178" s="85"/>
      <c r="F178" s="79"/>
      <c r="G178" s="79"/>
      <c r="H178" s="79"/>
      <c r="I178" s="65"/>
      <c r="J178" s="103"/>
      <c r="K178" s="44"/>
      <c r="L178" s="43"/>
      <c r="M178" s="43"/>
      <c r="N178" s="43"/>
      <c r="O178" s="43"/>
      <c r="P178" s="2"/>
      <c r="Q178" s="2"/>
      <c r="R178" s="2"/>
      <c r="S178" s="2"/>
      <c r="T178" s="2"/>
      <c r="U178" s="2"/>
      <c r="V178" s="2"/>
    </row>
    <row r="179" spans="1:22" ht="11.25" customHeight="1" x14ac:dyDescent="0.3">
      <c r="A179" s="43"/>
      <c r="B179" s="81" t="s">
        <v>13</v>
      </c>
      <c r="C179" s="88">
        <f>C178/E316</f>
        <v>3.3604701472926449E-2</v>
      </c>
      <c r="D179" s="64"/>
      <c r="E179" s="85"/>
      <c r="F179" s="79"/>
      <c r="G179" s="79"/>
      <c r="H179" s="79"/>
      <c r="I179" s="65"/>
      <c r="J179" s="103"/>
      <c r="K179" s="44"/>
      <c r="L179" s="43"/>
      <c r="M179" s="43"/>
      <c r="N179" s="43"/>
      <c r="O179" s="43"/>
      <c r="P179" s="2"/>
      <c r="Q179" s="2"/>
      <c r="R179" s="2"/>
      <c r="S179" s="2"/>
      <c r="T179" s="2"/>
      <c r="U179" s="2"/>
      <c r="V179" s="2"/>
    </row>
    <row r="180" spans="1:22" ht="11.25" customHeight="1" x14ac:dyDescent="0.3">
      <c r="A180" s="43"/>
      <c r="B180" s="104"/>
      <c r="C180" s="2"/>
      <c r="D180" s="69"/>
      <c r="E180" s="2"/>
      <c r="F180" s="69"/>
      <c r="G180" s="100"/>
      <c r="H180" s="69"/>
      <c r="I180" s="100"/>
      <c r="J180" s="101"/>
      <c r="K180" s="44"/>
      <c r="L180" s="43"/>
      <c r="M180" s="43"/>
      <c r="N180" s="43"/>
      <c r="O180" s="43"/>
      <c r="P180" s="2"/>
      <c r="Q180" s="2"/>
      <c r="R180" s="2"/>
      <c r="S180" s="2"/>
      <c r="T180" s="2"/>
      <c r="U180" s="2"/>
      <c r="V180" s="2"/>
    </row>
    <row r="181" spans="1:22" ht="11.25" customHeight="1" x14ac:dyDescent="0.3">
      <c r="A181" s="43"/>
      <c r="B181" s="71">
        <v>12</v>
      </c>
      <c r="C181" s="73" t="s">
        <v>42</v>
      </c>
      <c r="D181" s="74" t="s">
        <v>0</v>
      </c>
      <c r="E181" s="72" t="s">
        <v>1</v>
      </c>
      <c r="F181" s="75" t="s">
        <v>2</v>
      </c>
      <c r="G181" s="75" t="s">
        <v>3</v>
      </c>
      <c r="H181" s="75" t="s">
        <v>2</v>
      </c>
      <c r="I181" s="75" t="s">
        <v>3</v>
      </c>
      <c r="J181" s="76" t="s">
        <v>4</v>
      </c>
      <c r="K181" s="44"/>
      <c r="L181" s="43"/>
      <c r="M181" s="43"/>
      <c r="N181" s="43"/>
      <c r="O181" s="43"/>
      <c r="P181" s="2"/>
      <c r="Q181" s="2"/>
      <c r="R181" s="2"/>
      <c r="S181" s="2"/>
      <c r="T181" s="2"/>
      <c r="U181" s="2"/>
      <c r="V181" s="2"/>
    </row>
    <row r="182" spans="1:22" ht="11.25" customHeight="1" x14ac:dyDescent="0.3">
      <c r="A182" s="43"/>
      <c r="B182" s="7" t="s">
        <v>159</v>
      </c>
      <c r="C182" s="106" t="s">
        <v>43</v>
      </c>
      <c r="D182" s="16"/>
      <c r="E182" s="8"/>
      <c r="F182" s="12"/>
      <c r="G182" s="12"/>
      <c r="H182" s="12"/>
      <c r="I182" s="23"/>
      <c r="J182" s="25"/>
      <c r="K182" s="44"/>
      <c r="L182" s="43"/>
      <c r="M182" s="43"/>
      <c r="N182" s="43"/>
      <c r="O182" s="43"/>
      <c r="P182" s="2"/>
      <c r="Q182" s="2"/>
      <c r="R182" s="2"/>
      <c r="S182" s="2"/>
      <c r="T182" s="2"/>
      <c r="U182" s="2"/>
      <c r="V182" s="2"/>
    </row>
    <row r="183" spans="1:22" ht="14.4" x14ac:dyDescent="0.3">
      <c r="A183" s="43"/>
      <c r="B183" s="7" t="s">
        <v>160</v>
      </c>
      <c r="C183" s="143" t="s">
        <v>263</v>
      </c>
      <c r="D183" s="16">
        <v>1</v>
      </c>
      <c r="E183" s="8" t="s">
        <v>44</v>
      </c>
      <c r="F183" s="12">
        <v>3000</v>
      </c>
      <c r="G183" s="12">
        <v>0</v>
      </c>
      <c r="H183" s="12">
        <f t="shared" ref="H183:H190" si="57">F183*D183</f>
        <v>3000</v>
      </c>
      <c r="I183" s="23">
        <f t="shared" ref="I183:I190" si="58">G183*D183</f>
        <v>0</v>
      </c>
      <c r="J183" s="25">
        <f t="shared" ref="J183:J190" si="59">H183+I183</f>
        <v>3000</v>
      </c>
      <c r="K183" s="44"/>
      <c r="L183" s="43"/>
      <c r="M183" s="43"/>
      <c r="N183" s="43"/>
      <c r="O183" s="43"/>
      <c r="P183" s="2"/>
      <c r="Q183" s="2"/>
      <c r="R183" s="2"/>
      <c r="S183" s="2"/>
      <c r="T183" s="2"/>
      <c r="U183" s="2"/>
      <c r="V183" s="2"/>
    </row>
    <row r="184" spans="1:22" ht="14.4" x14ac:dyDescent="0.3">
      <c r="A184" s="43"/>
      <c r="B184" s="7" t="s">
        <v>161</v>
      </c>
      <c r="C184" s="9" t="s">
        <v>264</v>
      </c>
      <c r="D184" s="16">
        <v>1</v>
      </c>
      <c r="E184" s="8" t="s">
        <v>44</v>
      </c>
      <c r="F184" s="12">
        <v>1500</v>
      </c>
      <c r="G184" s="12">
        <v>0</v>
      </c>
      <c r="H184" s="12">
        <f t="shared" si="57"/>
        <v>1500</v>
      </c>
      <c r="I184" s="23">
        <f t="shared" si="58"/>
        <v>0</v>
      </c>
      <c r="J184" s="25">
        <f t="shared" si="59"/>
        <v>1500</v>
      </c>
      <c r="K184" s="44"/>
      <c r="L184" s="43"/>
      <c r="M184" s="43"/>
      <c r="N184" s="43"/>
      <c r="O184" s="43"/>
      <c r="P184" s="2"/>
      <c r="Q184" s="2"/>
      <c r="R184" s="2"/>
      <c r="S184" s="2"/>
      <c r="T184" s="2"/>
      <c r="U184" s="2"/>
      <c r="V184" s="2"/>
    </row>
    <row r="185" spans="1:22" ht="14.4" x14ac:dyDescent="0.3">
      <c r="A185" s="43"/>
      <c r="B185" s="7" t="s">
        <v>162</v>
      </c>
      <c r="C185" s="9" t="s">
        <v>265</v>
      </c>
      <c r="D185" s="16">
        <v>1</v>
      </c>
      <c r="E185" s="8" t="s">
        <v>44</v>
      </c>
      <c r="F185" s="12">
        <v>1500</v>
      </c>
      <c r="G185" s="12">
        <v>0</v>
      </c>
      <c r="H185" s="12">
        <f t="shared" si="57"/>
        <v>1500</v>
      </c>
      <c r="I185" s="23">
        <f t="shared" si="58"/>
        <v>0</v>
      </c>
      <c r="J185" s="25">
        <f t="shared" si="59"/>
        <v>1500</v>
      </c>
      <c r="K185" s="44"/>
      <c r="L185" s="43"/>
      <c r="M185" s="43"/>
      <c r="N185" s="43"/>
      <c r="O185" s="43"/>
      <c r="P185" s="2"/>
      <c r="Q185" s="2"/>
      <c r="R185" s="2"/>
      <c r="S185" s="2"/>
      <c r="T185" s="2"/>
      <c r="U185" s="2"/>
      <c r="V185" s="2"/>
    </row>
    <row r="186" spans="1:22" ht="14.4" x14ac:dyDescent="0.3">
      <c r="A186" s="43"/>
      <c r="B186" s="7" t="s">
        <v>163</v>
      </c>
      <c r="C186" s="9" t="s">
        <v>266</v>
      </c>
      <c r="D186" s="16">
        <v>1</v>
      </c>
      <c r="E186" s="8" t="s">
        <v>44</v>
      </c>
      <c r="F186" s="12">
        <v>1500</v>
      </c>
      <c r="G186" s="12">
        <v>0</v>
      </c>
      <c r="H186" s="12">
        <f t="shared" si="57"/>
        <v>1500</v>
      </c>
      <c r="I186" s="23">
        <f t="shared" si="58"/>
        <v>0</v>
      </c>
      <c r="J186" s="25">
        <f t="shared" si="59"/>
        <v>1500</v>
      </c>
      <c r="K186" s="44"/>
      <c r="L186" s="43"/>
      <c r="M186" s="43"/>
      <c r="N186" s="43"/>
      <c r="O186" s="43"/>
      <c r="P186" s="2"/>
      <c r="Q186" s="2"/>
      <c r="R186" s="2"/>
      <c r="S186" s="2"/>
      <c r="T186" s="2"/>
      <c r="U186" s="2"/>
      <c r="V186" s="2"/>
    </row>
    <row r="187" spans="1:22" ht="14.4" x14ac:dyDescent="0.3">
      <c r="A187" s="43"/>
      <c r="B187" s="7" t="s">
        <v>164</v>
      </c>
      <c r="C187" s="143" t="s">
        <v>267</v>
      </c>
      <c r="D187" s="16">
        <v>1</v>
      </c>
      <c r="E187" s="8" t="s">
        <v>44</v>
      </c>
      <c r="F187" s="12">
        <v>2500</v>
      </c>
      <c r="G187" s="12">
        <v>0</v>
      </c>
      <c r="H187" s="12">
        <f t="shared" si="57"/>
        <v>2500</v>
      </c>
      <c r="I187" s="23">
        <f t="shared" si="58"/>
        <v>0</v>
      </c>
      <c r="J187" s="25">
        <f t="shared" si="59"/>
        <v>2500</v>
      </c>
      <c r="K187" s="44"/>
      <c r="L187" s="43"/>
      <c r="M187" s="43"/>
      <c r="N187" s="43"/>
      <c r="O187" s="43"/>
      <c r="P187" s="2"/>
      <c r="Q187" s="2"/>
      <c r="R187" s="2"/>
      <c r="S187" s="2"/>
      <c r="T187" s="2"/>
      <c r="U187" s="2"/>
      <c r="V187" s="2"/>
    </row>
    <row r="188" spans="1:22" ht="14.4" x14ac:dyDescent="0.3">
      <c r="A188" s="43"/>
      <c r="B188" s="7" t="s">
        <v>165</v>
      </c>
      <c r="C188" s="9" t="s">
        <v>269</v>
      </c>
      <c r="D188" s="16">
        <v>1</v>
      </c>
      <c r="E188" s="8" t="s">
        <v>44</v>
      </c>
      <c r="F188" s="12">
        <v>1500</v>
      </c>
      <c r="G188" s="12">
        <v>0</v>
      </c>
      <c r="H188" s="12">
        <f t="shared" si="57"/>
        <v>1500</v>
      </c>
      <c r="I188" s="23">
        <f t="shared" si="58"/>
        <v>0</v>
      </c>
      <c r="J188" s="25">
        <f t="shared" si="59"/>
        <v>1500</v>
      </c>
      <c r="K188" s="44"/>
      <c r="L188" s="43"/>
      <c r="M188" s="43"/>
      <c r="N188" s="43"/>
      <c r="O188" s="43"/>
      <c r="P188" s="2"/>
      <c r="Q188" s="2"/>
      <c r="R188" s="2"/>
      <c r="S188" s="2"/>
      <c r="T188" s="2"/>
      <c r="U188" s="2"/>
      <c r="V188" s="2"/>
    </row>
    <row r="189" spans="1:22" ht="14.4" x14ac:dyDescent="0.3">
      <c r="A189" s="43"/>
      <c r="B189" s="7" t="s">
        <v>166</v>
      </c>
      <c r="C189" s="9" t="s">
        <v>270</v>
      </c>
      <c r="D189" s="16">
        <v>1</v>
      </c>
      <c r="E189" s="8" t="s">
        <v>44</v>
      </c>
      <c r="F189" s="12">
        <v>2500</v>
      </c>
      <c r="G189" s="12">
        <v>0</v>
      </c>
      <c r="H189" s="12">
        <f t="shared" si="57"/>
        <v>2500</v>
      </c>
      <c r="I189" s="23">
        <f t="shared" si="58"/>
        <v>0</v>
      </c>
      <c r="J189" s="25">
        <f t="shared" si="59"/>
        <v>2500</v>
      </c>
      <c r="K189" s="44"/>
      <c r="L189" s="43"/>
      <c r="M189" s="43"/>
      <c r="N189" s="43"/>
      <c r="O189" s="43"/>
      <c r="P189" s="2"/>
      <c r="Q189" s="2"/>
      <c r="R189" s="2"/>
      <c r="S189" s="2"/>
      <c r="T189" s="2"/>
      <c r="U189" s="2"/>
      <c r="V189" s="2"/>
    </row>
    <row r="190" spans="1:22" ht="14.4" x14ac:dyDescent="0.3">
      <c r="A190" s="43"/>
      <c r="B190" s="7" t="s">
        <v>167</v>
      </c>
      <c r="C190" s="9" t="s">
        <v>268</v>
      </c>
      <c r="D190" s="16">
        <v>1</v>
      </c>
      <c r="E190" s="8" t="s">
        <v>44</v>
      </c>
      <c r="F190" s="12">
        <v>3500</v>
      </c>
      <c r="G190" s="12">
        <v>0</v>
      </c>
      <c r="H190" s="12">
        <f t="shared" si="57"/>
        <v>3500</v>
      </c>
      <c r="I190" s="23">
        <f t="shared" si="58"/>
        <v>0</v>
      </c>
      <c r="J190" s="25">
        <f t="shared" si="59"/>
        <v>3500</v>
      </c>
      <c r="K190" s="44"/>
      <c r="L190" s="43"/>
      <c r="M190" s="43"/>
      <c r="N190" s="43"/>
      <c r="O190" s="43"/>
      <c r="P190" s="2"/>
      <c r="Q190" s="2"/>
      <c r="R190" s="2"/>
      <c r="S190" s="2"/>
      <c r="T190" s="2"/>
      <c r="U190" s="2"/>
      <c r="V190" s="2"/>
    </row>
    <row r="191" spans="1:22" ht="14.4" x14ac:dyDescent="0.3">
      <c r="A191" s="43"/>
      <c r="B191" s="7"/>
      <c r="C191" s="143"/>
      <c r="D191" s="16"/>
      <c r="E191" s="8"/>
      <c r="F191" s="12"/>
      <c r="G191" s="12"/>
      <c r="H191" s="12"/>
      <c r="I191" s="23"/>
      <c r="J191" s="25"/>
      <c r="K191" s="44"/>
      <c r="L191" s="43"/>
      <c r="M191" s="43"/>
      <c r="N191" s="43"/>
      <c r="O191" s="43"/>
      <c r="P191" s="2"/>
      <c r="Q191" s="2"/>
      <c r="R191" s="2"/>
      <c r="S191" s="2"/>
      <c r="T191" s="2"/>
      <c r="U191" s="2"/>
      <c r="V191" s="2"/>
    </row>
    <row r="192" spans="1:22" ht="14.4" x14ac:dyDescent="0.3">
      <c r="A192" s="43"/>
      <c r="B192" s="7"/>
      <c r="C192" s="9"/>
      <c r="D192" s="16"/>
      <c r="E192" s="8"/>
      <c r="F192" s="12"/>
      <c r="G192" s="12"/>
      <c r="H192" s="12"/>
      <c r="I192" s="23"/>
      <c r="J192" s="25"/>
      <c r="K192" s="44"/>
      <c r="L192" s="43"/>
      <c r="M192" s="43"/>
      <c r="N192" s="43"/>
      <c r="O192" s="43"/>
      <c r="P192" s="2"/>
      <c r="Q192" s="2"/>
      <c r="R192" s="2"/>
      <c r="S192" s="2"/>
      <c r="T192" s="2"/>
      <c r="U192" s="2"/>
      <c r="V192" s="2"/>
    </row>
    <row r="193" spans="1:22" ht="11.25" customHeight="1" x14ac:dyDescent="0.3">
      <c r="A193" s="43"/>
      <c r="B193" s="77" t="s">
        <v>12</v>
      </c>
      <c r="C193" s="78">
        <f>SUM(J182:J192)</f>
        <v>17500</v>
      </c>
      <c r="D193" s="102"/>
      <c r="E193" s="63"/>
      <c r="F193" s="65"/>
      <c r="G193" s="65"/>
      <c r="H193" s="68"/>
      <c r="I193" s="65"/>
      <c r="J193" s="87"/>
      <c r="K193" s="44"/>
      <c r="L193" s="43"/>
      <c r="M193" s="43"/>
      <c r="N193" s="43"/>
      <c r="O193" s="43"/>
      <c r="P193" s="2"/>
      <c r="Q193" s="2"/>
      <c r="R193" s="2"/>
      <c r="S193" s="2"/>
      <c r="T193" s="2"/>
      <c r="U193" s="2"/>
      <c r="V193" s="2"/>
    </row>
    <row r="194" spans="1:22" ht="11.25" customHeight="1" x14ac:dyDescent="0.3">
      <c r="A194" s="43"/>
      <c r="B194" s="81" t="s">
        <v>13</v>
      </c>
      <c r="C194" s="88">
        <f>C193/E316</f>
        <v>4.645199650680986E-2</v>
      </c>
      <c r="D194" s="102"/>
      <c r="E194" s="63"/>
      <c r="F194" s="65"/>
      <c r="G194" s="65"/>
      <c r="H194" s="68"/>
      <c r="I194" s="65"/>
      <c r="J194" s="87"/>
      <c r="K194" s="44"/>
      <c r="L194" s="43"/>
      <c r="M194" s="43"/>
      <c r="N194" s="43"/>
      <c r="O194" s="43"/>
      <c r="P194" s="2"/>
      <c r="Q194" s="2"/>
      <c r="R194" s="2"/>
      <c r="S194" s="2"/>
      <c r="T194" s="2"/>
      <c r="U194" s="2"/>
      <c r="V194" s="2"/>
    </row>
    <row r="195" spans="1:22" ht="11.25" customHeight="1" x14ac:dyDescent="0.3">
      <c r="A195" s="43"/>
      <c r="B195" s="104"/>
      <c r="C195" s="2"/>
      <c r="D195" s="69"/>
      <c r="E195" s="2"/>
      <c r="F195" s="69"/>
      <c r="G195" s="100"/>
      <c r="H195" s="69"/>
      <c r="I195" s="100"/>
      <c r="J195" s="101"/>
      <c r="K195" s="44"/>
      <c r="L195" s="43"/>
      <c r="M195" s="43"/>
      <c r="N195" s="43"/>
      <c r="O195" s="43"/>
      <c r="P195" s="2"/>
      <c r="Q195" s="2"/>
      <c r="R195" s="2"/>
      <c r="S195" s="2"/>
      <c r="T195" s="2"/>
      <c r="U195" s="2"/>
      <c r="V195" s="2"/>
    </row>
    <row r="196" spans="1:22" ht="11.25" customHeight="1" x14ac:dyDescent="0.3">
      <c r="A196" s="43"/>
      <c r="B196" s="71">
        <v>13</v>
      </c>
      <c r="C196" s="73" t="s">
        <v>45</v>
      </c>
      <c r="D196" s="74" t="s">
        <v>0</v>
      </c>
      <c r="E196" s="72" t="s">
        <v>1</v>
      </c>
      <c r="F196" s="75" t="s">
        <v>2</v>
      </c>
      <c r="G196" s="75" t="s">
        <v>3</v>
      </c>
      <c r="H196" s="75" t="s">
        <v>2</v>
      </c>
      <c r="I196" s="75" t="s">
        <v>3</v>
      </c>
      <c r="J196" s="76" t="s">
        <v>4</v>
      </c>
      <c r="K196" s="44"/>
      <c r="L196" s="43"/>
      <c r="M196" s="43"/>
      <c r="N196" s="43"/>
      <c r="O196" s="43"/>
      <c r="P196" s="2"/>
      <c r="Q196" s="2"/>
      <c r="R196" s="2"/>
      <c r="S196" s="2"/>
      <c r="T196" s="2"/>
      <c r="U196" s="2"/>
      <c r="V196" s="2"/>
    </row>
    <row r="197" spans="1:22" ht="11.25" customHeight="1" x14ac:dyDescent="0.3">
      <c r="A197" s="43"/>
      <c r="B197" s="7">
        <v>13.1</v>
      </c>
      <c r="C197" s="129" t="s">
        <v>271</v>
      </c>
      <c r="D197" s="16">
        <v>4</v>
      </c>
      <c r="E197" s="8" t="s">
        <v>46</v>
      </c>
      <c r="F197" s="11">
        <v>750</v>
      </c>
      <c r="G197" s="11">
        <v>0</v>
      </c>
      <c r="H197" s="12">
        <f t="shared" ref="H197:H226" si="60">D197*F197</f>
        <v>3000</v>
      </c>
      <c r="I197" s="11">
        <f t="shared" ref="I197:I226" si="61">D197*G197</f>
        <v>0</v>
      </c>
      <c r="J197" s="13">
        <f t="shared" ref="J197:J226" si="62">H197+I197</f>
        <v>3000</v>
      </c>
      <c r="K197" s="44"/>
      <c r="L197" s="43"/>
      <c r="M197" s="43"/>
      <c r="N197" s="43"/>
      <c r="O197" s="43"/>
      <c r="P197" s="2"/>
      <c r="Q197" s="2"/>
      <c r="R197" s="2"/>
      <c r="S197" s="2"/>
      <c r="T197" s="2"/>
      <c r="U197" s="2"/>
      <c r="V197" s="2"/>
    </row>
    <row r="198" spans="1:22" ht="11.25" customHeight="1" x14ac:dyDescent="0.3">
      <c r="A198" s="43"/>
      <c r="B198" s="7">
        <v>13.2</v>
      </c>
      <c r="C198" s="125" t="s">
        <v>272</v>
      </c>
      <c r="D198" s="16">
        <v>5</v>
      </c>
      <c r="E198" s="8" t="s">
        <v>46</v>
      </c>
      <c r="F198" s="11">
        <v>250</v>
      </c>
      <c r="G198" s="11">
        <v>0</v>
      </c>
      <c r="H198" s="12">
        <f t="shared" si="60"/>
        <v>1250</v>
      </c>
      <c r="I198" s="11">
        <f t="shared" si="61"/>
        <v>0</v>
      </c>
      <c r="J198" s="13">
        <f t="shared" si="62"/>
        <v>1250</v>
      </c>
      <c r="K198" s="44"/>
      <c r="L198" s="43"/>
      <c r="M198" s="43"/>
      <c r="N198" s="43"/>
      <c r="O198" s="43"/>
      <c r="P198" s="2"/>
      <c r="Q198" s="2"/>
      <c r="R198" s="2"/>
      <c r="S198" s="2"/>
      <c r="T198" s="2"/>
      <c r="U198" s="2"/>
      <c r="V198" s="2"/>
    </row>
    <row r="199" spans="1:22" ht="11.25" customHeight="1" x14ac:dyDescent="0.3">
      <c r="A199" s="43"/>
      <c r="B199" s="7">
        <v>13.3</v>
      </c>
      <c r="C199" s="130" t="s">
        <v>273</v>
      </c>
      <c r="D199" s="16">
        <v>7</v>
      </c>
      <c r="E199" s="8" t="s">
        <v>46</v>
      </c>
      <c r="F199" s="11">
        <v>280</v>
      </c>
      <c r="G199" s="11">
        <v>0</v>
      </c>
      <c r="H199" s="12">
        <f t="shared" si="60"/>
        <v>1960</v>
      </c>
      <c r="I199" s="11">
        <f t="shared" si="61"/>
        <v>0</v>
      </c>
      <c r="J199" s="13">
        <f t="shared" si="62"/>
        <v>1960</v>
      </c>
      <c r="K199" s="44"/>
      <c r="L199" s="43"/>
      <c r="M199" s="43"/>
      <c r="N199" s="43"/>
      <c r="O199" s="43"/>
      <c r="P199" s="2"/>
      <c r="Q199" s="2"/>
      <c r="R199" s="2"/>
      <c r="S199" s="2"/>
      <c r="T199" s="2"/>
      <c r="U199" s="2"/>
      <c r="V199" s="2"/>
    </row>
    <row r="200" spans="1:22" ht="11.25" customHeight="1" x14ac:dyDescent="0.3">
      <c r="A200" s="43"/>
      <c r="B200" s="7">
        <v>13.4</v>
      </c>
      <c r="C200" s="125" t="s">
        <v>100</v>
      </c>
      <c r="D200" s="16">
        <v>3</v>
      </c>
      <c r="E200" s="8" t="s">
        <v>46</v>
      </c>
      <c r="F200" s="11">
        <v>130</v>
      </c>
      <c r="G200" s="11">
        <v>0</v>
      </c>
      <c r="H200" s="12">
        <f t="shared" si="60"/>
        <v>390</v>
      </c>
      <c r="I200" s="11">
        <f t="shared" si="61"/>
        <v>0</v>
      </c>
      <c r="J200" s="13">
        <f t="shared" si="62"/>
        <v>390</v>
      </c>
      <c r="K200" s="44"/>
      <c r="L200" s="43"/>
      <c r="M200" s="43"/>
      <c r="N200" s="43"/>
      <c r="O200" s="43"/>
      <c r="P200" s="2"/>
      <c r="Q200" s="2"/>
      <c r="R200" s="2"/>
      <c r="S200" s="2"/>
      <c r="T200" s="2"/>
      <c r="U200" s="2"/>
      <c r="V200" s="2"/>
    </row>
    <row r="201" spans="1:22" ht="11.25" customHeight="1" x14ac:dyDescent="0.3">
      <c r="A201" s="43"/>
      <c r="B201" s="7">
        <v>13.5</v>
      </c>
      <c r="C201" s="125" t="s">
        <v>101</v>
      </c>
      <c r="D201" s="16">
        <v>18</v>
      </c>
      <c r="E201" s="8" t="s">
        <v>46</v>
      </c>
      <c r="F201" s="11">
        <v>28</v>
      </c>
      <c r="G201" s="11">
        <v>0</v>
      </c>
      <c r="H201" s="12">
        <f t="shared" si="60"/>
        <v>504</v>
      </c>
      <c r="I201" s="11">
        <f t="shared" si="61"/>
        <v>0</v>
      </c>
      <c r="J201" s="13">
        <f t="shared" si="62"/>
        <v>504</v>
      </c>
      <c r="K201" s="44"/>
      <c r="L201" s="43"/>
      <c r="M201" s="43"/>
      <c r="N201" s="43"/>
      <c r="O201" s="43"/>
      <c r="P201" s="2"/>
      <c r="Q201" s="2"/>
      <c r="R201" s="2"/>
      <c r="S201" s="2"/>
      <c r="T201" s="2"/>
      <c r="U201" s="2"/>
      <c r="V201" s="2"/>
    </row>
    <row r="202" spans="1:22" s="182" customFormat="1" ht="11.25" customHeight="1" x14ac:dyDescent="0.3">
      <c r="A202" s="174"/>
      <c r="B202" s="175">
        <v>13.6</v>
      </c>
      <c r="C202" s="176" t="s">
        <v>102</v>
      </c>
      <c r="D202" s="126">
        <v>0</v>
      </c>
      <c r="E202" s="177" t="s">
        <v>46</v>
      </c>
      <c r="F202" s="128">
        <v>0</v>
      </c>
      <c r="G202" s="128">
        <v>0</v>
      </c>
      <c r="H202" s="178">
        <f t="shared" si="60"/>
        <v>0</v>
      </c>
      <c r="I202" s="128">
        <f t="shared" si="61"/>
        <v>0</v>
      </c>
      <c r="J202" s="179">
        <f t="shared" si="62"/>
        <v>0</v>
      </c>
      <c r="K202" s="180"/>
      <c r="L202" s="174"/>
      <c r="M202" s="174"/>
      <c r="N202" s="174"/>
      <c r="O202" s="174"/>
      <c r="P202" s="181"/>
      <c r="Q202" s="181"/>
      <c r="R202" s="181"/>
      <c r="S202" s="181"/>
      <c r="T202" s="181"/>
      <c r="U202" s="181"/>
      <c r="V202" s="181"/>
    </row>
    <row r="203" spans="1:22" ht="11.25" customHeight="1" x14ac:dyDescent="0.3">
      <c r="A203" s="43"/>
      <c r="B203" s="7">
        <v>13.7</v>
      </c>
      <c r="C203" s="125" t="s">
        <v>103</v>
      </c>
      <c r="D203" s="16">
        <v>2</v>
      </c>
      <c r="E203" s="8" t="s">
        <v>46</v>
      </c>
      <c r="F203" s="11">
        <v>300</v>
      </c>
      <c r="G203" s="11">
        <v>0</v>
      </c>
      <c r="H203" s="12">
        <f t="shared" si="60"/>
        <v>600</v>
      </c>
      <c r="I203" s="11">
        <f t="shared" si="61"/>
        <v>0</v>
      </c>
      <c r="J203" s="13">
        <f t="shared" si="62"/>
        <v>600</v>
      </c>
      <c r="K203" s="44"/>
      <c r="L203" s="43"/>
      <c r="M203" s="43"/>
      <c r="N203" s="43"/>
      <c r="O203" s="43"/>
      <c r="P203" s="2"/>
      <c r="Q203" s="2"/>
      <c r="R203" s="2"/>
      <c r="S203" s="2"/>
      <c r="T203" s="2"/>
      <c r="U203" s="2"/>
      <c r="V203" s="2"/>
    </row>
    <row r="204" spans="1:22" ht="11.25" customHeight="1" x14ac:dyDescent="0.3">
      <c r="A204" s="43"/>
      <c r="B204" s="7">
        <v>13.8</v>
      </c>
      <c r="C204" s="125" t="s">
        <v>274</v>
      </c>
      <c r="D204" s="16">
        <v>2</v>
      </c>
      <c r="E204" s="8" t="s">
        <v>46</v>
      </c>
      <c r="F204" s="11">
        <v>350</v>
      </c>
      <c r="G204" s="11">
        <v>0</v>
      </c>
      <c r="H204" s="12">
        <f t="shared" si="60"/>
        <v>700</v>
      </c>
      <c r="I204" s="11">
        <f t="shared" si="61"/>
        <v>0</v>
      </c>
      <c r="J204" s="13">
        <f t="shared" si="62"/>
        <v>700</v>
      </c>
      <c r="K204" s="44"/>
      <c r="L204" s="43"/>
      <c r="M204" s="43"/>
      <c r="N204" s="43"/>
      <c r="O204" s="43"/>
      <c r="P204" s="2"/>
      <c r="Q204" s="2"/>
      <c r="R204" s="2"/>
      <c r="S204" s="2"/>
      <c r="T204" s="2"/>
      <c r="U204" s="2"/>
      <c r="V204" s="2"/>
    </row>
    <row r="205" spans="1:22" s="182" customFormat="1" ht="11.25" customHeight="1" x14ac:dyDescent="0.3">
      <c r="A205" s="174"/>
      <c r="B205" s="175">
        <v>13.9</v>
      </c>
      <c r="C205" s="176" t="s">
        <v>104</v>
      </c>
      <c r="D205" s="126">
        <v>0</v>
      </c>
      <c r="E205" s="177" t="s">
        <v>46</v>
      </c>
      <c r="F205" s="128">
        <v>0</v>
      </c>
      <c r="G205" s="128">
        <v>0</v>
      </c>
      <c r="H205" s="178">
        <f t="shared" si="60"/>
        <v>0</v>
      </c>
      <c r="I205" s="128">
        <f t="shared" si="61"/>
        <v>0</v>
      </c>
      <c r="J205" s="179">
        <f t="shared" si="62"/>
        <v>0</v>
      </c>
      <c r="K205" s="180"/>
      <c r="L205" s="174"/>
      <c r="M205" s="174"/>
      <c r="N205" s="174"/>
      <c r="O205" s="174"/>
      <c r="P205" s="181"/>
      <c r="Q205" s="181"/>
      <c r="R205" s="181"/>
      <c r="S205" s="181"/>
      <c r="T205" s="181"/>
      <c r="U205" s="181"/>
      <c r="V205" s="181"/>
    </row>
    <row r="206" spans="1:22" ht="11.25" customHeight="1" x14ac:dyDescent="0.3">
      <c r="A206" s="43"/>
      <c r="B206" s="7">
        <v>13.1</v>
      </c>
      <c r="C206" s="130" t="s">
        <v>106</v>
      </c>
      <c r="D206" s="16">
        <v>1</v>
      </c>
      <c r="E206" s="8" t="s">
        <v>46</v>
      </c>
      <c r="F206" s="11">
        <v>350</v>
      </c>
      <c r="G206" s="11">
        <v>0</v>
      </c>
      <c r="H206" s="12">
        <f t="shared" si="60"/>
        <v>350</v>
      </c>
      <c r="I206" s="11">
        <f t="shared" si="61"/>
        <v>0</v>
      </c>
      <c r="J206" s="13">
        <f t="shared" si="62"/>
        <v>350</v>
      </c>
      <c r="K206" s="44"/>
      <c r="L206" s="43"/>
      <c r="M206" s="43"/>
      <c r="N206" s="43"/>
      <c r="O206" s="43"/>
      <c r="P206" s="2"/>
      <c r="Q206" s="2"/>
      <c r="R206" s="2"/>
      <c r="S206" s="2"/>
      <c r="T206" s="2"/>
      <c r="U206" s="2"/>
      <c r="V206" s="2"/>
    </row>
    <row r="207" spans="1:22" s="182" customFormat="1" ht="11.25" customHeight="1" x14ac:dyDescent="0.3">
      <c r="A207" s="174"/>
      <c r="B207" s="175">
        <v>13.11</v>
      </c>
      <c r="C207" s="176" t="s">
        <v>105</v>
      </c>
      <c r="D207" s="126">
        <v>0</v>
      </c>
      <c r="E207" s="177" t="s">
        <v>46</v>
      </c>
      <c r="F207" s="128">
        <v>0</v>
      </c>
      <c r="G207" s="128">
        <v>0</v>
      </c>
      <c r="H207" s="178">
        <f t="shared" si="60"/>
        <v>0</v>
      </c>
      <c r="I207" s="128">
        <f t="shared" si="61"/>
        <v>0</v>
      </c>
      <c r="J207" s="179">
        <f t="shared" si="62"/>
        <v>0</v>
      </c>
      <c r="K207" s="180"/>
      <c r="L207" s="174"/>
      <c r="M207" s="174"/>
      <c r="N207" s="174"/>
      <c r="O207" s="174"/>
      <c r="P207" s="181"/>
      <c r="Q207" s="181"/>
      <c r="R207" s="181"/>
      <c r="S207" s="181"/>
      <c r="T207" s="181"/>
      <c r="U207" s="181"/>
      <c r="V207" s="181"/>
    </row>
    <row r="208" spans="1:22" s="182" customFormat="1" ht="11.25" customHeight="1" x14ac:dyDescent="0.3">
      <c r="A208" s="174"/>
      <c r="B208" s="175">
        <v>13.12</v>
      </c>
      <c r="C208" s="176" t="s">
        <v>107</v>
      </c>
      <c r="D208" s="126">
        <v>0</v>
      </c>
      <c r="E208" s="177" t="s">
        <v>46</v>
      </c>
      <c r="F208" s="128">
        <v>0</v>
      </c>
      <c r="G208" s="128">
        <v>0</v>
      </c>
      <c r="H208" s="178">
        <f t="shared" si="60"/>
        <v>0</v>
      </c>
      <c r="I208" s="128">
        <f t="shared" si="61"/>
        <v>0</v>
      </c>
      <c r="J208" s="179">
        <f t="shared" si="62"/>
        <v>0</v>
      </c>
      <c r="K208" s="180"/>
      <c r="L208" s="174"/>
      <c r="M208" s="174"/>
      <c r="N208" s="174"/>
      <c r="O208" s="174"/>
      <c r="P208" s="181"/>
      <c r="Q208" s="181"/>
      <c r="R208" s="181"/>
      <c r="S208" s="181"/>
      <c r="T208" s="181"/>
      <c r="U208" s="181"/>
      <c r="V208" s="181"/>
    </row>
    <row r="209" spans="1:22" s="182" customFormat="1" ht="11.25" customHeight="1" x14ac:dyDescent="0.3">
      <c r="A209" s="174"/>
      <c r="B209" s="175">
        <v>13.13</v>
      </c>
      <c r="C209" s="176" t="s">
        <v>108</v>
      </c>
      <c r="D209" s="126">
        <v>0</v>
      </c>
      <c r="E209" s="177" t="s">
        <v>46</v>
      </c>
      <c r="F209" s="128">
        <v>0</v>
      </c>
      <c r="G209" s="128">
        <v>0</v>
      </c>
      <c r="H209" s="178">
        <f t="shared" si="60"/>
        <v>0</v>
      </c>
      <c r="I209" s="128">
        <f t="shared" si="61"/>
        <v>0</v>
      </c>
      <c r="J209" s="179">
        <f t="shared" si="62"/>
        <v>0</v>
      </c>
      <c r="K209" s="180"/>
      <c r="L209" s="174"/>
      <c r="M209" s="174"/>
      <c r="N209" s="174"/>
      <c r="O209" s="174"/>
      <c r="P209" s="181"/>
      <c r="Q209" s="181"/>
      <c r="R209" s="181"/>
      <c r="S209" s="181"/>
      <c r="T209" s="181"/>
      <c r="U209" s="181"/>
      <c r="V209" s="181"/>
    </row>
    <row r="210" spans="1:22" s="182" customFormat="1" ht="11.25" customHeight="1" x14ac:dyDescent="0.3">
      <c r="A210" s="174"/>
      <c r="B210" s="175">
        <v>13.14</v>
      </c>
      <c r="C210" s="176" t="s">
        <v>109</v>
      </c>
      <c r="D210" s="126">
        <v>0</v>
      </c>
      <c r="E210" s="177" t="s">
        <v>46</v>
      </c>
      <c r="F210" s="128">
        <v>0</v>
      </c>
      <c r="G210" s="128">
        <v>0</v>
      </c>
      <c r="H210" s="178">
        <f t="shared" si="60"/>
        <v>0</v>
      </c>
      <c r="I210" s="128">
        <f t="shared" si="61"/>
        <v>0</v>
      </c>
      <c r="J210" s="179">
        <f t="shared" si="62"/>
        <v>0</v>
      </c>
      <c r="K210" s="180"/>
      <c r="L210" s="174"/>
      <c r="M210" s="174"/>
      <c r="N210" s="174"/>
      <c r="O210" s="174"/>
      <c r="P210" s="181"/>
      <c r="Q210" s="181"/>
      <c r="R210" s="181"/>
      <c r="S210" s="181"/>
      <c r="T210" s="181"/>
      <c r="U210" s="181"/>
      <c r="V210" s="181"/>
    </row>
    <row r="211" spans="1:22" s="182" customFormat="1" ht="11.25" customHeight="1" x14ac:dyDescent="0.3">
      <c r="A211" s="174"/>
      <c r="B211" s="175">
        <v>13.15</v>
      </c>
      <c r="C211" s="176" t="s">
        <v>110</v>
      </c>
      <c r="D211" s="126">
        <v>0</v>
      </c>
      <c r="E211" s="177" t="s">
        <v>46</v>
      </c>
      <c r="F211" s="128">
        <v>0</v>
      </c>
      <c r="G211" s="128">
        <v>0</v>
      </c>
      <c r="H211" s="178">
        <f t="shared" si="60"/>
        <v>0</v>
      </c>
      <c r="I211" s="128">
        <f t="shared" si="61"/>
        <v>0</v>
      </c>
      <c r="J211" s="179">
        <f t="shared" si="62"/>
        <v>0</v>
      </c>
      <c r="K211" s="180"/>
      <c r="L211" s="174"/>
      <c r="M211" s="174"/>
      <c r="N211" s="174"/>
      <c r="O211" s="174"/>
      <c r="P211" s="181"/>
      <c r="Q211" s="181"/>
      <c r="R211" s="181"/>
      <c r="S211" s="181"/>
      <c r="T211" s="181"/>
      <c r="U211" s="181"/>
      <c r="V211" s="181"/>
    </row>
    <row r="212" spans="1:22" ht="11.25" customHeight="1" x14ac:dyDescent="0.3">
      <c r="A212" s="43"/>
      <c r="B212" s="7">
        <v>13.16</v>
      </c>
      <c r="C212" s="125" t="s">
        <v>275</v>
      </c>
      <c r="D212" s="16">
        <v>5</v>
      </c>
      <c r="E212" s="8" t="s">
        <v>46</v>
      </c>
      <c r="F212" s="11">
        <v>75</v>
      </c>
      <c r="G212" s="11">
        <v>0</v>
      </c>
      <c r="H212" s="12">
        <f t="shared" si="60"/>
        <v>375</v>
      </c>
      <c r="I212" s="11">
        <f t="shared" si="61"/>
        <v>0</v>
      </c>
      <c r="J212" s="13">
        <f t="shared" si="62"/>
        <v>375</v>
      </c>
      <c r="K212" s="44"/>
      <c r="L212" s="43"/>
      <c r="M212" s="43"/>
      <c r="N212" s="43"/>
      <c r="O212" s="43"/>
      <c r="P212" s="2"/>
      <c r="Q212" s="2"/>
      <c r="R212" s="2"/>
      <c r="S212" s="2"/>
      <c r="T212" s="2"/>
      <c r="U212" s="2"/>
      <c r="V212" s="2"/>
    </row>
    <row r="213" spans="1:22" ht="11.25" customHeight="1" x14ac:dyDescent="0.3">
      <c r="A213" s="43"/>
      <c r="B213" s="7">
        <v>13.17</v>
      </c>
      <c r="C213" s="125" t="s">
        <v>276</v>
      </c>
      <c r="D213" s="16">
        <v>3</v>
      </c>
      <c r="E213" s="8" t="s">
        <v>46</v>
      </c>
      <c r="F213" s="11">
        <v>60</v>
      </c>
      <c r="G213" s="11">
        <v>0</v>
      </c>
      <c r="H213" s="12">
        <f t="shared" si="60"/>
        <v>180</v>
      </c>
      <c r="I213" s="11">
        <f t="shared" si="61"/>
        <v>0</v>
      </c>
      <c r="J213" s="13">
        <f t="shared" si="62"/>
        <v>180</v>
      </c>
      <c r="K213" s="44"/>
      <c r="L213" s="43"/>
      <c r="M213" s="43"/>
      <c r="N213" s="43"/>
      <c r="O213" s="43"/>
      <c r="P213" s="2"/>
      <c r="Q213" s="2"/>
      <c r="R213" s="2"/>
      <c r="S213" s="2"/>
      <c r="T213" s="2"/>
      <c r="U213" s="2"/>
      <c r="V213" s="2"/>
    </row>
    <row r="214" spans="1:22" s="182" customFormat="1" ht="11.25" customHeight="1" x14ac:dyDescent="0.3">
      <c r="A214" s="174"/>
      <c r="B214" s="175">
        <v>13.18</v>
      </c>
      <c r="C214" s="176" t="s">
        <v>47</v>
      </c>
      <c r="D214" s="126">
        <v>0</v>
      </c>
      <c r="E214" s="177" t="s">
        <v>46</v>
      </c>
      <c r="F214" s="128">
        <v>0</v>
      </c>
      <c r="G214" s="128">
        <v>0</v>
      </c>
      <c r="H214" s="178">
        <f t="shared" si="60"/>
        <v>0</v>
      </c>
      <c r="I214" s="128">
        <f t="shared" si="61"/>
        <v>0</v>
      </c>
      <c r="J214" s="179">
        <f t="shared" si="62"/>
        <v>0</v>
      </c>
      <c r="K214" s="180"/>
      <c r="L214" s="174"/>
      <c r="M214" s="174"/>
      <c r="N214" s="174"/>
      <c r="O214" s="174"/>
      <c r="P214" s="181"/>
      <c r="Q214" s="181"/>
      <c r="R214" s="181"/>
      <c r="S214" s="181"/>
      <c r="T214" s="181"/>
      <c r="U214" s="181"/>
      <c r="V214" s="181"/>
    </row>
    <row r="215" spans="1:22" ht="11.25" customHeight="1" x14ac:dyDescent="0.3">
      <c r="A215" s="43"/>
      <c r="B215" s="7">
        <v>13.19</v>
      </c>
      <c r="C215" s="125" t="s">
        <v>277</v>
      </c>
      <c r="D215" s="16">
        <v>6</v>
      </c>
      <c r="E215" s="8" t="s">
        <v>46</v>
      </c>
      <c r="F215" s="11">
        <v>42</v>
      </c>
      <c r="G215" s="11">
        <v>0</v>
      </c>
      <c r="H215" s="12">
        <f t="shared" si="60"/>
        <v>252</v>
      </c>
      <c r="I215" s="11">
        <f t="shared" si="61"/>
        <v>0</v>
      </c>
      <c r="J215" s="13">
        <f t="shared" si="62"/>
        <v>252</v>
      </c>
      <c r="K215" s="44"/>
      <c r="L215" s="43"/>
      <c r="M215" s="43"/>
      <c r="N215" s="43"/>
      <c r="O215" s="43"/>
      <c r="P215" s="2"/>
      <c r="Q215" s="2"/>
      <c r="R215" s="2"/>
      <c r="S215" s="2"/>
      <c r="T215" s="2"/>
      <c r="U215" s="2"/>
      <c r="V215" s="2"/>
    </row>
    <row r="216" spans="1:22" ht="11.25" customHeight="1" x14ac:dyDescent="0.3">
      <c r="A216" s="43"/>
      <c r="B216" s="7">
        <v>13.2</v>
      </c>
      <c r="C216" s="125" t="s">
        <v>125</v>
      </c>
      <c r="D216" s="16">
        <v>2</v>
      </c>
      <c r="E216" s="8" t="s">
        <v>46</v>
      </c>
      <c r="F216" s="11">
        <v>55</v>
      </c>
      <c r="G216" s="11">
        <v>0</v>
      </c>
      <c r="H216" s="12">
        <f t="shared" si="60"/>
        <v>110</v>
      </c>
      <c r="I216" s="11">
        <f t="shared" si="61"/>
        <v>0</v>
      </c>
      <c r="J216" s="13">
        <f t="shared" si="62"/>
        <v>110</v>
      </c>
      <c r="K216" s="44"/>
      <c r="L216" s="43"/>
      <c r="M216" s="43"/>
      <c r="N216" s="43"/>
      <c r="O216" s="43"/>
      <c r="P216" s="2"/>
      <c r="Q216" s="2"/>
      <c r="R216" s="2"/>
      <c r="S216" s="2"/>
      <c r="T216" s="2"/>
      <c r="U216" s="2"/>
      <c r="V216" s="2"/>
    </row>
    <row r="217" spans="1:22" s="182" customFormat="1" ht="11.25" customHeight="1" x14ac:dyDescent="0.3">
      <c r="A217" s="174"/>
      <c r="B217" s="175">
        <v>13.21</v>
      </c>
      <c r="C217" s="176" t="s">
        <v>111</v>
      </c>
      <c r="D217" s="126">
        <v>0</v>
      </c>
      <c r="E217" s="177" t="s">
        <v>46</v>
      </c>
      <c r="F217" s="128">
        <v>0</v>
      </c>
      <c r="G217" s="128">
        <v>0</v>
      </c>
      <c r="H217" s="178">
        <f t="shared" si="60"/>
        <v>0</v>
      </c>
      <c r="I217" s="128">
        <f t="shared" si="61"/>
        <v>0</v>
      </c>
      <c r="J217" s="179">
        <f t="shared" si="62"/>
        <v>0</v>
      </c>
      <c r="K217" s="180"/>
      <c r="L217" s="174"/>
      <c r="M217" s="174"/>
      <c r="N217" s="174"/>
      <c r="O217" s="174"/>
      <c r="P217" s="181"/>
      <c r="Q217" s="181"/>
      <c r="R217" s="181"/>
      <c r="S217" s="181"/>
      <c r="T217" s="181"/>
      <c r="U217" s="181"/>
      <c r="V217" s="181"/>
    </row>
    <row r="218" spans="1:22" s="182" customFormat="1" ht="11.25" customHeight="1" x14ac:dyDescent="0.3">
      <c r="A218" s="174"/>
      <c r="B218" s="175">
        <v>13.22</v>
      </c>
      <c r="C218" s="176" t="s">
        <v>112</v>
      </c>
      <c r="D218" s="126">
        <v>0</v>
      </c>
      <c r="E218" s="177" t="s">
        <v>46</v>
      </c>
      <c r="F218" s="128">
        <v>0</v>
      </c>
      <c r="G218" s="128">
        <v>0</v>
      </c>
      <c r="H218" s="178">
        <f t="shared" si="60"/>
        <v>0</v>
      </c>
      <c r="I218" s="128">
        <f t="shared" si="61"/>
        <v>0</v>
      </c>
      <c r="J218" s="179">
        <f t="shared" si="62"/>
        <v>0</v>
      </c>
      <c r="K218" s="180"/>
      <c r="L218" s="174"/>
      <c r="M218" s="174"/>
      <c r="N218" s="174"/>
      <c r="O218" s="174"/>
      <c r="P218" s="181"/>
      <c r="Q218" s="181"/>
      <c r="R218" s="181"/>
      <c r="S218" s="181"/>
      <c r="T218" s="181"/>
      <c r="U218" s="181"/>
      <c r="V218" s="181"/>
    </row>
    <row r="219" spans="1:22" s="182" customFormat="1" ht="11.25" customHeight="1" x14ac:dyDescent="0.3">
      <c r="A219" s="174"/>
      <c r="B219" s="175">
        <v>13.23</v>
      </c>
      <c r="C219" s="176" t="s">
        <v>113</v>
      </c>
      <c r="D219" s="126">
        <v>0</v>
      </c>
      <c r="E219" s="177" t="s">
        <v>46</v>
      </c>
      <c r="F219" s="128">
        <v>0</v>
      </c>
      <c r="G219" s="128">
        <v>0</v>
      </c>
      <c r="H219" s="178">
        <f t="shared" ref="H219:H225" si="63">D219*F219</f>
        <v>0</v>
      </c>
      <c r="I219" s="128">
        <f t="shared" ref="I219:I225" si="64">D219*G219</f>
        <v>0</v>
      </c>
      <c r="J219" s="179">
        <f t="shared" ref="J219:J225" si="65">H219+I219</f>
        <v>0</v>
      </c>
      <c r="K219" s="180"/>
      <c r="L219" s="174"/>
      <c r="M219" s="174"/>
      <c r="N219" s="174"/>
      <c r="O219" s="174"/>
      <c r="P219" s="181"/>
      <c r="Q219" s="181"/>
      <c r="R219" s="181"/>
      <c r="S219" s="181"/>
      <c r="T219" s="181"/>
      <c r="U219" s="181"/>
      <c r="V219" s="181"/>
    </row>
    <row r="220" spans="1:22" s="182" customFormat="1" ht="11.25" customHeight="1" x14ac:dyDescent="0.3">
      <c r="A220" s="174"/>
      <c r="B220" s="175">
        <v>13.24</v>
      </c>
      <c r="C220" s="176" t="s">
        <v>114</v>
      </c>
      <c r="D220" s="126">
        <v>0</v>
      </c>
      <c r="E220" s="177" t="s">
        <v>46</v>
      </c>
      <c r="F220" s="128">
        <v>0</v>
      </c>
      <c r="G220" s="128">
        <v>0</v>
      </c>
      <c r="H220" s="178">
        <f t="shared" si="63"/>
        <v>0</v>
      </c>
      <c r="I220" s="128">
        <f t="shared" si="64"/>
        <v>0</v>
      </c>
      <c r="J220" s="179">
        <f t="shared" si="65"/>
        <v>0</v>
      </c>
      <c r="K220" s="180"/>
      <c r="L220" s="174"/>
      <c r="M220" s="174"/>
      <c r="N220" s="174"/>
      <c r="O220" s="174"/>
      <c r="P220" s="181"/>
      <c r="Q220" s="181"/>
      <c r="R220" s="181"/>
      <c r="S220" s="181"/>
      <c r="T220" s="181"/>
      <c r="U220" s="181"/>
      <c r="V220" s="181"/>
    </row>
    <row r="221" spans="1:22" s="182" customFormat="1" ht="11.25" customHeight="1" x14ac:dyDescent="0.3">
      <c r="A221" s="174"/>
      <c r="B221" s="175">
        <v>13.25</v>
      </c>
      <c r="C221" s="176" t="s">
        <v>115</v>
      </c>
      <c r="D221" s="126">
        <v>0</v>
      </c>
      <c r="E221" s="177" t="s">
        <v>46</v>
      </c>
      <c r="F221" s="128">
        <v>0</v>
      </c>
      <c r="G221" s="128">
        <v>0</v>
      </c>
      <c r="H221" s="178">
        <f t="shared" si="63"/>
        <v>0</v>
      </c>
      <c r="I221" s="128">
        <f t="shared" si="64"/>
        <v>0</v>
      </c>
      <c r="J221" s="179">
        <f t="shared" si="65"/>
        <v>0</v>
      </c>
      <c r="K221" s="180"/>
      <c r="L221" s="174"/>
      <c r="M221" s="174"/>
      <c r="N221" s="174"/>
      <c r="O221" s="174"/>
      <c r="P221" s="181"/>
      <c r="Q221" s="181"/>
      <c r="R221" s="181"/>
      <c r="S221" s="181"/>
      <c r="T221" s="181"/>
      <c r="U221" s="181"/>
      <c r="V221" s="181"/>
    </row>
    <row r="222" spans="1:22" s="182" customFormat="1" ht="11.25" customHeight="1" x14ac:dyDescent="0.3">
      <c r="A222" s="174"/>
      <c r="B222" s="175">
        <v>13.26</v>
      </c>
      <c r="C222" s="176" t="s">
        <v>116</v>
      </c>
      <c r="D222" s="126">
        <v>0</v>
      </c>
      <c r="E222" s="177" t="s">
        <v>46</v>
      </c>
      <c r="F222" s="128">
        <v>0</v>
      </c>
      <c r="G222" s="128">
        <v>0</v>
      </c>
      <c r="H222" s="178">
        <f t="shared" si="63"/>
        <v>0</v>
      </c>
      <c r="I222" s="128">
        <f t="shared" si="64"/>
        <v>0</v>
      </c>
      <c r="J222" s="179">
        <f t="shared" si="65"/>
        <v>0</v>
      </c>
      <c r="K222" s="180"/>
      <c r="L222" s="174"/>
      <c r="M222" s="174"/>
      <c r="N222" s="174"/>
      <c r="O222" s="174"/>
      <c r="P222" s="181"/>
      <c r="Q222" s="181"/>
      <c r="R222" s="181"/>
      <c r="S222" s="181"/>
      <c r="T222" s="181"/>
      <c r="U222" s="181"/>
      <c r="V222" s="181"/>
    </row>
    <row r="223" spans="1:22" s="182" customFormat="1" ht="11.25" customHeight="1" x14ac:dyDescent="0.3">
      <c r="A223" s="174"/>
      <c r="B223" s="175">
        <v>13.27</v>
      </c>
      <c r="C223" s="176" t="s">
        <v>117</v>
      </c>
      <c r="D223" s="126">
        <v>0</v>
      </c>
      <c r="E223" s="177" t="s">
        <v>46</v>
      </c>
      <c r="F223" s="128">
        <v>0</v>
      </c>
      <c r="G223" s="128">
        <v>0</v>
      </c>
      <c r="H223" s="178">
        <f t="shared" si="63"/>
        <v>0</v>
      </c>
      <c r="I223" s="128">
        <f t="shared" si="64"/>
        <v>0</v>
      </c>
      <c r="J223" s="179">
        <f t="shared" si="65"/>
        <v>0</v>
      </c>
      <c r="K223" s="180"/>
      <c r="L223" s="174"/>
      <c r="M223" s="174"/>
      <c r="N223" s="174"/>
      <c r="O223" s="174"/>
      <c r="P223" s="181"/>
      <c r="Q223" s="181"/>
      <c r="R223" s="181"/>
      <c r="S223" s="181"/>
      <c r="T223" s="181"/>
      <c r="U223" s="181"/>
      <c r="V223" s="181"/>
    </row>
    <row r="224" spans="1:22" s="182" customFormat="1" ht="11.25" customHeight="1" x14ac:dyDescent="0.3">
      <c r="A224" s="174"/>
      <c r="B224" s="175">
        <v>13.28</v>
      </c>
      <c r="C224" s="176" t="s">
        <v>118</v>
      </c>
      <c r="D224" s="126">
        <v>0</v>
      </c>
      <c r="E224" s="177" t="s">
        <v>46</v>
      </c>
      <c r="F224" s="128">
        <v>0</v>
      </c>
      <c r="G224" s="128">
        <v>0</v>
      </c>
      <c r="H224" s="178">
        <f t="shared" si="63"/>
        <v>0</v>
      </c>
      <c r="I224" s="128">
        <f t="shared" si="64"/>
        <v>0</v>
      </c>
      <c r="J224" s="179">
        <f t="shared" si="65"/>
        <v>0</v>
      </c>
      <c r="K224" s="180"/>
      <c r="L224" s="174"/>
      <c r="M224" s="174"/>
      <c r="N224" s="174"/>
      <c r="O224" s="174"/>
      <c r="P224" s="181"/>
      <c r="Q224" s="181"/>
      <c r="R224" s="181"/>
      <c r="S224" s="181"/>
      <c r="T224" s="181"/>
      <c r="U224" s="181"/>
      <c r="V224" s="181"/>
    </row>
    <row r="225" spans="1:22" s="182" customFormat="1" ht="11.25" customHeight="1" x14ac:dyDescent="0.3">
      <c r="A225" s="174"/>
      <c r="B225" s="175">
        <v>13.29</v>
      </c>
      <c r="C225" s="176" t="s">
        <v>119</v>
      </c>
      <c r="D225" s="126">
        <v>0</v>
      </c>
      <c r="E225" s="177" t="s">
        <v>46</v>
      </c>
      <c r="F225" s="128">
        <v>0</v>
      </c>
      <c r="G225" s="128">
        <v>0</v>
      </c>
      <c r="H225" s="178">
        <f t="shared" si="63"/>
        <v>0</v>
      </c>
      <c r="I225" s="128">
        <f t="shared" si="64"/>
        <v>0</v>
      </c>
      <c r="J225" s="179">
        <f t="shared" si="65"/>
        <v>0</v>
      </c>
      <c r="K225" s="180"/>
      <c r="L225" s="174"/>
      <c r="M225" s="174"/>
      <c r="N225" s="174"/>
      <c r="O225" s="174"/>
      <c r="P225" s="181"/>
      <c r="Q225" s="181"/>
      <c r="R225" s="181"/>
      <c r="S225" s="181"/>
      <c r="T225" s="181"/>
      <c r="U225" s="181"/>
      <c r="V225" s="181"/>
    </row>
    <row r="226" spans="1:22" ht="11.25" customHeight="1" x14ac:dyDescent="0.3">
      <c r="A226" s="43"/>
      <c r="B226" s="7">
        <v>13.3</v>
      </c>
      <c r="C226" s="15" t="s">
        <v>120</v>
      </c>
      <c r="D226" s="16">
        <v>2</v>
      </c>
      <c r="E226" s="8" t="s">
        <v>46</v>
      </c>
      <c r="F226" s="11">
        <v>175</v>
      </c>
      <c r="G226" s="11">
        <v>0</v>
      </c>
      <c r="H226" s="12">
        <f t="shared" si="60"/>
        <v>350</v>
      </c>
      <c r="I226" s="11">
        <f t="shared" si="61"/>
        <v>0</v>
      </c>
      <c r="J226" s="13">
        <f t="shared" si="62"/>
        <v>350</v>
      </c>
      <c r="K226" s="44"/>
      <c r="L226" s="43"/>
      <c r="M226" s="43"/>
      <c r="N226" s="43"/>
      <c r="O226" s="43"/>
      <c r="P226" s="2"/>
      <c r="Q226" s="2"/>
      <c r="R226" s="2"/>
      <c r="S226" s="2"/>
      <c r="T226" s="2"/>
      <c r="U226" s="2"/>
      <c r="V226" s="2"/>
    </row>
    <row r="227" spans="1:22" ht="11.25" customHeight="1" x14ac:dyDescent="0.3">
      <c r="A227" s="43"/>
      <c r="B227" s="77" t="s">
        <v>12</v>
      </c>
      <c r="C227" s="78">
        <f>SUM(J197:J226)</f>
        <v>10021</v>
      </c>
      <c r="D227" s="63"/>
      <c r="E227" s="85"/>
      <c r="F227" s="79"/>
      <c r="G227" s="79"/>
      <c r="H227" s="79"/>
      <c r="I227" s="65"/>
      <c r="J227" s="87"/>
      <c r="K227" s="44"/>
      <c r="L227" s="43"/>
      <c r="M227" s="43"/>
      <c r="N227" s="43"/>
      <c r="O227" s="43"/>
      <c r="P227" s="2"/>
      <c r="Q227" s="2"/>
      <c r="R227" s="2"/>
      <c r="S227" s="2"/>
      <c r="T227" s="2"/>
      <c r="U227" s="2"/>
      <c r="V227" s="2"/>
    </row>
    <row r="228" spans="1:22" ht="11.25" customHeight="1" x14ac:dyDescent="0.3">
      <c r="A228" s="43"/>
      <c r="B228" s="81" t="s">
        <v>13</v>
      </c>
      <c r="C228" s="88">
        <f>C227/E316</f>
        <v>2.6599740399699524E-2</v>
      </c>
      <c r="D228" s="55"/>
      <c r="E228" s="83"/>
      <c r="F228" s="84"/>
      <c r="G228" s="14"/>
      <c r="H228" s="84"/>
      <c r="I228" s="56"/>
      <c r="J228" s="95"/>
      <c r="K228" s="44"/>
      <c r="L228" s="43"/>
      <c r="M228" s="43"/>
      <c r="N228" s="43"/>
      <c r="O228" s="43"/>
      <c r="P228" s="2"/>
      <c r="Q228" s="2"/>
      <c r="R228" s="2"/>
      <c r="S228" s="2"/>
      <c r="T228" s="2"/>
      <c r="U228" s="2"/>
      <c r="V228" s="2"/>
    </row>
    <row r="229" spans="1:22" s="127" customFormat="1" ht="11.25" customHeight="1" x14ac:dyDescent="0.3">
      <c r="A229" s="131"/>
      <c r="B229" s="94"/>
      <c r="C229" s="132"/>
      <c r="D229" s="47"/>
      <c r="E229" s="48"/>
      <c r="F229" s="50"/>
      <c r="G229" s="1"/>
      <c r="H229" s="50"/>
      <c r="I229" s="50"/>
      <c r="J229" s="51"/>
      <c r="K229" s="133"/>
      <c r="L229" s="131"/>
      <c r="M229" s="131"/>
      <c r="N229" s="131"/>
      <c r="O229" s="131"/>
      <c r="P229" s="2"/>
      <c r="Q229" s="2"/>
      <c r="R229" s="2"/>
      <c r="S229" s="2"/>
      <c r="T229" s="2"/>
      <c r="U229" s="2"/>
      <c r="V229" s="2"/>
    </row>
    <row r="230" spans="1:22" s="127" customFormat="1" ht="11.25" customHeight="1" x14ac:dyDescent="0.3">
      <c r="A230" s="131"/>
      <c r="B230" s="71">
        <v>14</v>
      </c>
      <c r="C230" s="73" t="s">
        <v>122</v>
      </c>
      <c r="D230" s="74" t="s">
        <v>0</v>
      </c>
      <c r="E230" s="72" t="s">
        <v>1</v>
      </c>
      <c r="F230" s="75" t="s">
        <v>2</v>
      </c>
      <c r="G230" s="75" t="s">
        <v>3</v>
      </c>
      <c r="H230" s="75" t="s">
        <v>2</v>
      </c>
      <c r="I230" s="75" t="s">
        <v>3</v>
      </c>
      <c r="J230" s="76" t="s">
        <v>4</v>
      </c>
      <c r="K230" s="133"/>
      <c r="L230" s="131"/>
      <c r="M230" s="131"/>
      <c r="N230" s="131"/>
      <c r="O230" s="131"/>
      <c r="P230" s="2"/>
      <c r="Q230" s="2"/>
      <c r="R230" s="2"/>
      <c r="S230" s="2"/>
      <c r="T230" s="2"/>
      <c r="U230" s="2"/>
      <c r="V230" s="2"/>
    </row>
    <row r="231" spans="1:22" s="127" customFormat="1" ht="11.25" customHeight="1" x14ac:dyDescent="0.3">
      <c r="A231" s="131"/>
      <c r="B231" s="7">
        <v>14.1</v>
      </c>
      <c r="C231" s="125" t="s">
        <v>123</v>
      </c>
      <c r="D231" s="8">
        <v>4</v>
      </c>
      <c r="E231" s="8" t="s">
        <v>17</v>
      </c>
      <c r="F231" s="142">
        <v>0</v>
      </c>
      <c r="G231" s="12">
        <v>650</v>
      </c>
      <c r="H231" s="107">
        <f>F231*D231</f>
        <v>0</v>
      </c>
      <c r="I231" s="11">
        <f>G231*D231</f>
        <v>2600</v>
      </c>
      <c r="J231" s="13">
        <f t="shared" ref="J231" si="66">H231+I231</f>
        <v>2600</v>
      </c>
      <c r="K231" s="133"/>
      <c r="L231" s="131"/>
      <c r="M231" s="131"/>
      <c r="N231" s="131"/>
      <c r="O231" s="131"/>
      <c r="P231" s="2"/>
      <c r="Q231" s="2"/>
      <c r="R231" s="2"/>
      <c r="S231" s="2"/>
      <c r="T231" s="2"/>
      <c r="U231" s="2"/>
      <c r="V231" s="2"/>
    </row>
    <row r="232" spans="1:22" s="127" customFormat="1" ht="11.25" customHeight="1" x14ac:dyDescent="0.3">
      <c r="A232" s="131"/>
      <c r="B232" s="7">
        <v>14.2</v>
      </c>
      <c r="C232" s="125" t="s">
        <v>278</v>
      </c>
      <c r="D232" s="8">
        <v>1</v>
      </c>
      <c r="E232" s="8" t="s">
        <v>17</v>
      </c>
      <c r="F232" s="142">
        <v>4200</v>
      </c>
      <c r="G232" s="12">
        <v>0</v>
      </c>
      <c r="H232" s="107">
        <f t="shared" ref="H232:H234" si="67">F232*D232</f>
        <v>4200</v>
      </c>
      <c r="I232" s="11">
        <f t="shared" ref="I232:I234" si="68">G232*D232</f>
        <v>0</v>
      </c>
      <c r="J232" s="13">
        <f t="shared" ref="J232:J234" si="69">H232+I232</f>
        <v>4200</v>
      </c>
      <c r="K232" s="133"/>
      <c r="L232" s="131"/>
      <c r="M232" s="131"/>
      <c r="N232" s="131"/>
      <c r="O232" s="131"/>
      <c r="P232" s="2"/>
      <c r="Q232" s="2"/>
      <c r="R232" s="2"/>
      <c r="S232" s="2"/>
      <c r="T232" s="2"/>
      <c r="U232" s="2"/>
      <c r="V232" s="2"/>
    </row>
    <row r="233" spans="1:22" s="127" customFormat="1" ht="11.25" customHeight="1" x14ac:dyDescent="0.3">
      <c r="A233" s="131"/>
      <c r="B233" s="7">
        <v>14.3</v>
      </c>
      <c r="C233" s="125" t="s">
        <v>279</v>
      </c>
      <c r="D233" s="8">
        <v>3</v>
      </c>
      <c r="E233" s="8" t="s">
        <v>8</v>
      </c>
      <c r="F233" s="142">
        <f>2000*2+1*2400</f>
        <v>6400</v>
      </c>
      <c r="G233" s="12">
        <v>0</v>
      </c>
      <c r="H233" s="107">
        <v>6400</v>
      </c>
      <c r="I233" s="11">
        <f t="shared" si="68"/>
        <v>0</v>
      </c>
      <c r="J233" s="13">
        <f t="shared" si="69"/>
        <v>6400</v>
      </c>
      <c r="K233" s="133"/>
      <c r="L233" s="131"/>
      <c r="M233" s="131"/>
      <c r="N233" s="131"/>
      <c r="O233" s="131"/>
      <c r="P233" s="2"/>
      <c r="Q233" s="2"/>
      <c r="R233" s="2"/>
      <c r="S233" s="2"/>
      <c r="T233" s="2"/>
      <c r="U233" s="2"/>
      <c r="V233" s="2"/>
    </row>
    <row r="234" spans="1:22" s="127" customFormat="1" ht="11.25" customHeight="1" x14ac:dyDescent="0.3">
      <c r="A234" s="131"/>
      <c r="B234" s="7">
        <v>14.4</v>
      </c>
      <c r="C234" s="125" t="s">
        <v>124</v>
      </c>
      <c r="D234" s="8">
        <v>4</v>
      </c>
      <c r="E234" s="8" t="s">
        <v>17</v>
      </c>
      <c r="F234" s="142">
        <v>0</v>
      </c>
      <c r="G234" s="12">
        <v>400</v>
      </c>
      <c r="H234" s="107">
        <f t="shared" si="67"/>
        <v>0</v>
      </c>
      <c r="I234" s="11">
        <f t="shared" si="68"/>
        <v>1600</v>
      </c>
      <c r="J234" s="13">
        <f t="shared" si="69"/>
        <v>1600</v>
      </c>
      <c r="K234" s="133"/>
      <c r="L234" s="131"/>
      <c r="M234" s="131"/>
      <c r="N234" s="131"/>
      <c r="O234" s="131"/>
      <c r="P234" s="2"/>
      <c r="Q234" s="2"/>
      <c r="R234" s="2"/>
      <c r="S234" s="2"/>
      <c r="T234" s="2"/>
      <c r="U234" s="2"/>
      <c r="V234" s="2"/>
    </row>
    <row r="235" spans="1:22" s="127" customFormat="1" ht="11.25" customHeight="1" x14ac:dyDescent="0.3">
      <c r="A235" s="131"/>
      <c r="B235" s="77" t="s">
        <v>12</v>
      </c>
      <c r="C235" s="78">
        <f>SUM(J231:J234)</f>
        <v>14800</v>
      </c>
      <c r="D235" s="85"/>
      <c r="E235" s="86"/>
      <c r="F235" s="79"/>
      <c r="G235" s="79"/>
      <c r="H235" s="79"/>
      <c r="I235" s="65"/>
      <c r="J235" s="87"/>
      <c r="K235" s="133"/>
      <c r="L235" s="131"/>
      <c r="M235" s="131"/>
      <c r="N235" s="131"/>
      <c r="O235" s="131"/>
      <c r="P235" s="2"/>
      <c r="Q235" s="2"/>
      <c r="R235" s="2"/>
      <c r="S235" s="2"/>
      <c r="T235" s="2"/>
      <c r="U235" s="2"/>
      <c r="V235" s="2"/>
    </row>
    <row r="236" spans="1:22" s="127" customFormat="1" ht="11.25" customHeight="1" x14ac:dyDescent="0.3">
      <c r="A236" s="131"/>
      <c r="B236" s="81" t="s">
        <v>13</v>
      </c>
      <c r="C236" s="88">
        <f>C235/E316</f>
        <v>3.9285117045759196E-2</v>
      </c>
      <c r="D236" s="83"/>
      <c r="E236" s="89"/>
      <c r="F236" s="84"/>
      <c r="G236" s="14"/>
      <c r="H236" s="84"/>
      <c r="I236" s="56"/>
      <c r="J236" s="66"/>
      <c r="K236" s="133"/>
      <c r="L236" s="131"/>
      <c r="M236" s="131"/>
      <c r="N236" s="131"/>
      <c r="O236" s="131"/>
      <c r="P236" s="2"/>
      <c r="Q236" s="2"/>
      <c r="R236" s="2"/>
      <c r="S236" s="2"/>
      <c r="T236" s="2"/>
      <c r="U236" s="2"/>
      <c r="V236" s="2"/>
    </row>
    <row r="237" spans="1:22" ht="11.25" customHeight="1" x14ac:dyDescent="0.3">
      <c r="A237" s="43"/>
      <c r="B237" s="104"/>
      <c r="C237" s="2"/>
      <c r="D237" s="2"/>
      <c r="E237" s="99"/>
      <c r="F237" s="69"/>
      <c r="G237" s="100"/>
      <c r="H237" s="69"/>
      <c r="I237" s="100"/>
      <c r="J237" s="101"/>
      <c r="K237" s="44"/>
      <c r="L237" s="43"/>
      <c r="M237" s="43"/>
      <c r="N237" s="43"/>
      <c r="O237" s="43"/>
      <c r="P237" s="2"/>
      <c r="Q237" s="2"/>
      <c r="R237" s="2"/>
      <c r="S237" s="2"/>
      <c r="T237" s="2"/>
      <c r="U237" s="2"/>
      <c r="V237" s="2"/>
    </row>
    <row r="238" spans="1:22" ht="11.25" customHeight="1" x14ac:dyDescent="0.3">
      <c r="A238" s="43"/>
      <c r="B238" s="71">
        <v>15</v>
      </c>
      <c r="C238" s="73" t="s">
        <v>48</v>
      </c>
      <c r="D238" s="74" t="s">
        <v>0</v>
      </c>
      <c r="E238" s="72" t="s">
        <v>1</v>
      </c>
      <c r="F238" s="75" t="s">
        <v>2</v>
      </c>
      <c r="G238" s="75" t="s">
        <v>3</v>
      </c>
      <c r="H238" s="75" t="s">
        <v>2</v>
      </c>
      <c r="I238" s="75" t="s">
        <v>3</v>
      </c>
      <c r="J238" s="76" t="s">
        <v>4</v>
      </c>
      <c r="K238" s="44"/>
      <c r="L238" s="43"/>
      <c r="M238" s="43"/>
      <c r="N238" s="43"/>
      <c r="O238" s="43"/>
      <c r="P238" s="2"/>
      <c r="Q238" s="2"/>
      <c r="R238" s="2"/>
      <c r="S238" s="2"/>
      <c r="T238" s="2"/>
      <c r="U238" s="2"/>
      <c r="V238" s="2"/>
    </row>
    <row r="239" spans="1:22" ht="11.25" customHeight="1" x14ac:dyDescent="0.3">
      <c r="A239" s="43"/>
      <c r="B239" s="7">
        <v>15.1</v>
      </c>
      <c r="C239" s="125" t="s">
        <v>280</v>
      </c>
      <c r="D239" s="8">
        <v>1</v>
      </c>
      <c r="E239" s="8" t="s">
        <v>8</v>
      </c>
      <c r="F239" s="11">
        <v>5800</v>
      </c>
      <c r="G239" s="12">
        <v>0</v>
      </c>
      <c r="H239" s="107">
        <f>F239*D239</f>
        <v>5800</v>
      </c>
      <c r="I239" s="11">
        <f>G239*D239</f>
        <v>0</v>
      </c>
      <c r="J239" s="13">
        <f t="shared" ref="J239:J240" si="70">H239+I239</f>
        <v>5800</v>
      </c>
      <c r="K239" s="44"/>
      <c r="L239" s="43"/>
      <c r="M239" s="43"/>
      <c r="N239" s="43"/>
      <c r="O239" s="43"/>
      <c r="P239" s="2"/>
      <c r="Q239" s="2"/>
      <c r="R239" s="2"/>
      <c r="S239" s="2"/>
      <c r="T239" s="2"/>
      <c r="U239" s="2"/>
      <c r="V239" s="2"/>
    </row>
    <row r="240" spans="1:22" ht="11.25" customHeight="1" x14ac:dyDescent="0.3">
      <c r="A240" s="43"/>
      <c r="B240" s="7">
        <v>15.2</v>
      </c>
      <c r="C240" s="125" t="s">
        <v>281</v>
      </c>
      <c r="D240" s="8">
        <v>1</v>
      </c>
      <c r="E240" s="8" t="s">
        <v>8</v>
      </c>
      <c r="F240" s="11">
        <v>7500</v>
      </c>
      <c r="G240" s="12">
        <v>0</v>
      </c>
      <c r="H240" s="107">
        <f>F240*D240</f>
        <v>7500</v>
      </c>
      <c r="I240" s="11">
        <f>G240*D240</f>
        <v>0</v>
      </c>
      <c r="J240" s="13">
        <f t="shared" si="70"/>
        <v>7500</v>
      </c>
      <c r="K240" s="44"/>
      <c r="L240" s="43"/>
      <c r="M240" s="43"/>
      <c r="N240" s="43"/>
      <c r="O240" s="43"/>
      <c r="P240" s="2"/>
      <c r="Q240" s="2"/>
      <c r="R240" s="2"/>
      <c r="S240" s="2"/>
      <c r="T240" s="2"/>
      <c r="U240" s="2"/>
      <c r="V240" s="2"/>
    </row>
    <row r="241" spans="1:22" ht="11.25" customHeight="1" x14ac:dyDescent="0.3">
      <c r="A241" s="43"/>
      <c r="B241" s="77" t="s">
        <v>12</v>
      </c>
      <c r="C241" s="78">
        <f>SUM(J239:J240)</f>
        <v>13300</v>
      </c>
      <c r="D241" s="85"/>
      <c r="E241" s="86"/>
      <c r="F241" s="79"/>
      <c r="G241" s="79"/>
      <c r="H241" s="79"/>
      <c r="I241" s="65"/>
      <c r="J241" s="87"/>
      <c r="K241" s="44"/>
      <c r="L241" s="43"/>
      <c r="M241" s="43"/>
      <c r="N241" s="43"/>
      <c r="O241" s="43"/>
      <c r="P241" s="2"/>
      <c r="Q241" s="2"/>
      <c r="R241" s="2"/>
      <c r="S241" s="2"/>
      <c r="T241" s="2"/>
      <c r="U241" s="2"/>
      <c r="V241" s="2"/>
    </row>
    <row r="242" spans="1:22" ht="11.25" customHeight="1" x14ac:dyDescent="0.3">
      <c r="A242" s="43"/>
      <c r="B242" s="81" t="s">
        <v>13</v>
      </c>
      <c r="C242" s="88">
        <f>C241/E316</f>
        <v>3.5303517345175499E-2</v>
      </c>
      <c r="D242" s="83"/>
      <c r="E242" s="89"/>
      <c r="F242" s="84"/>
      <c r="G242" s="14"/>
      <c r="H242" s="84"/>
      <c r="I242" s="56"/>
      <c r="J242" s="66"/>
      <c r="K242" s="44"/>
      <c r="L242" s="43"/>
      <c r="M242" s="43"/>
      <c r="N242" s="43"/>
      <c r="O242" s="43"/>
      <c r="P242" s="2"/>
      <c r="Q242" s="2"/>
      <c r="R242" s="2"/>
      <c r="S242" s="2"/>
      <c r="T242" s="2"/>
      <c r="U242" s="2"/>
      <c r="V242" s="2"/>
    </row>
    <row r="243" spans="1:22" ht="11.25" customHeight="1" x14ac:dyDescent="0.3">
      <c r="A243" s="43"/>
      <c r="B243" s="104"/>
      <c r="C243" s="2"/>
      <c r="D243" s="69"/>
      <c r="E243" s="2"/>
      <c r="F243" s="69"/>
      <c r="G243" s="100"/>
      <c r="H243" s="69"/>
      <c r="I243" s="100"/>
      <c r="J243" s="101"/>
      <c r="K243" s="44"/>
      <c r="L243" s="43"/>
      <c r="M243" s="43"/>
      <c r="N243" s="43"/>
      <c r="O243" s="43"/>
      <c r="P243" s="2"/>
      <c r="Q243" s="2"/>
      <c r="R243" s="2"/>
      <c r="S243" s="2"/>
      <c r="T243" s="2"/>
      <c r="U243" s="2"/>
      <c r="V243" s="2"/>
    </row>
    <row r="244" spans="1:22" ht="11.25" customHeight="1" x14ac:dyDescent="0.3">
      <c r="A244" s="43"/>
      <c r="B244" s="71">
        <v>16</v>
      </c>
      <c r="C244" s="73" t="s">
        <v>49</v>
      </c>
      <c r="D244" s="74" t="s">
        <v>0</v>
      </c>
      <c r="E244" s="72" t="s">
        <v>1</v>
      </c>
      <c r="F244" s="75" t="s">
        <v>2</v>
      </c>
      <c r="G244" s="75" t="s">
        <v>3</v>
      </c>
      <c r="H244" s="75" t="s">
        <v>2</v>
      </c>
      <c r="I244" s="75" t="s">
        <v>3</v>
      </c>
      <c r="J244" s="76" t="s">
        <v>4</v>
      </c>
      <c r="K244" s="44"/>
      <c r="L244" s="43"/>
      <c r="M244" s="43"/>
      <c r="N244" s="43"/>
      <c r="O244" s="43"/>
      <c r="P244" s="2"/>
      <c r="Q244" s="2"/>
      <c r="R244" s="2"/>
      <c r="S244" s="2"/>
      <c r="T244" s="2"/>
      <c r="U244" s="2"/>
      <c r="V244" s="2"/>
    </row>
    <row r="245" spans="1:22" ht="11.25" customHeight="1" x14ac:dyDescent="0.3">
      <c r="A245" s="43"/>
      <c r="B245" s="7">
        <v>16.100000000000001</v>
      </c>
      <c r="C245" s="15" t="s">
        <v>50</v>
      </c>
      <c r="D245" s="137">
        <v>1</v>
      </c>
      <c r="E245" s="8" t="s">
        <v>8</v>
      </c>
      <c r="F245" s="11">
        <v>5500</v>
      </c>
      <c r="G245" s="11">
        <v>0</v>
      </c>
      <c r="H245" s="12">
        <f>D245*F245</f>
        <v>5500</v>
      </c>
      <c r="I245" s="11">
        <f>D245*G245</f>
        <v>0</v>
      </c>
      <c r="J245" s="13">
        <f t="shared" ref="J245" si="71">H245+I245</f>
        <v>5500</v>
      </c>
      <c r="K245" s="44"/>
      <c r="L245" s="43"/>
      <c r="M245" s="43"/>
      <c r="N245" s="43"/>
      <c r="O245" s="43"/>
      <c r="P245" s="2"/>
      <c r="Q245" s="2"/>
      <c r="R245" s="2"/>
      <c r="S245" s="2"/>
      <c r="T245" s="2"/>
      <c r="U245" s="2"/>
      <c r="V245" s="2"/>
    </row>
    <row r="246" spans="1:22" ht="11.25" customHeight="1" x14ac:dyDescent="0.3">
      <c r="A246" s="43"/>
      <c r="B246" s="7">
        <v>16.2</v>
      </c>
      <c r="C246" s="15" t="s">
        <v>51</v>
      </c>
      <c r="D246" s="16">
        <v>1</v>
      </c>
      <c r="E246" s="8" t="s">
        <v>8</v>
      </c>
      <c r="F246" s="11">
        <v>1500</v>
      </c>
      <c r="G246" s="11">
        <v>0</v>
      </c>
      <c r="H246" s="12">
        <f t="shared" ref="H246" si="72">D246*F246</f>
        <v>1500</v>
      </c>
      <c r="I246" s="11">
        <f t="shared" ref="I246" si="73">D246*G246</f>
        <v>0</v>
      </c>
      <c r="J246" s="13">
        <f t="shared" ref="J246" si="74">H246+I246</f>
        <v>1500</v>
      </c>
      <c r="K246" s="44"/>
      <c r="L246" s="43"/>
      <c r="M246" s="43"/>
      <c r="N246" s="43"/>
      <c r="O246" s="43"/>
      <c r="P246" s="2"/>
      <c r="Q246" s="2"/>
      <c r="R246" s="2"/>
      <c r="S246" s="2"/>
      <c r="T246" s="2"/>
      <c r="U246" s="2"/>
      <c r="V246" s="2"/>
    </row>
    <row r="247" spans="1:22" ht="11.25" customHeight="1" x14ac:dyDescent="0.3">
      <c r="A247" s="43"/>
      <c r="B247" s="7">
        <v>16.3</v>
      </c>
      <c r="C247" s="15" t="s">
        <v>121</v>
      </c>
      <c r="D247" s="16">
        <v>1</v>
      </c>
      <c r="E247" s="8" t="s">
        <v>8</v>
      </c>
      <c r="F247" s="11">
        <v>1500</v>
      </c>
      <c r="G247" s="11">
        <v>0</v>
      </c>
      <c r="H247" s="12">
        <f t="shared" ref="H247:H248" si="75">D247*F247</f>
        <v>1500</v>
      </c>
      <c r="I247" s="11">
        <f t="shared" ref="I247:I248" si="76">D247*G247</f>
        <v>0</v>
      </c>
      <c r="J247" s="13">
        <f t="shared" ref="J247:J248" si="77">H247+I247</f>
        <v>1500</v>
      </c>
      <c r="K247" s="44"/>
      <c r="L247" s="43"/>
      <c r="M247" s="43"/>
      <c r="N247" s="43"/>
      <c r="O247" s="43"/>
      <c r="P247" s="2"/>
      <c r="Q247" s="2"/>
      <c r="R247" s="2"/>
      <c r="S247" s="2"/>
      <c r="T247" s="2"/>
      <c r="U247" s="2"/>
      <c r="V247" s="2"/>
    </row>
    <row r="248" spans="1:22" s="239" customFormat="1" ht="11.25" customHeight="1" x14ac:dyDescent="0.3">
      <c r="A248" s="174"/>
      <c r="B248" s="175">
        <v>16.399999999999999</v>
      </c>
      <c r="C248" s="176" t="s">
        <v>92</v>
      </c>
      <c r="D248" s="126">
        <v>0</v>
      </c>
      <c r="E248" s="177" t="s">
        <v>17</v>
      </c>
      <c r="F248" s="128">
        <v>0</v>
      </c>
      <c r="G248" s="128">
        <v>0</v>
      </c>
      <c r="H248" s="178">
        <f t="shared" si="75"/>
        <v>0</v>
      </c>
      <c r="I248" s="128">
        <f t="shared" si="76"/>
        <v>0</v>
      </c>
      <c r="J248" s="179">
        <f t="shared" si="77"/>
        <v>0</v>
      </c>
      <c r="K248" s="180"/>
      <c r="L248" s="174"/>
      <c r="M248" s="174"/>
      <c r="N248" s="174"/>
      <c r="O248" s="174"/>
      <c r="P248" s="181"/>
      <c r="Q248" s="181"/>
      <c r="R248" s="181"/>
      <c r="S248" s="181"/>
      <c r="T248" s="181"/>
      <c r="U248" s="181"/>
      <c r="V248" s="181"/>
    </row>
    <row r="249" spans="1:22" ht="11.25" customHeight="1" x14ac:dyDescent="0.3">
      <c r="A249" s="43"/>
      <c r="B249" s="77" t="s">
        <v>12</v>
      </c>
      <c r="C249" s="78">
        <f>SUM(J245:J248)</f>
        <v>8500</v>
      </c>
      <c r="D249" s="63"/>
      <c r="E249" s="85"/>
      <c r="F249" s="79"/>
      <c r="G249" s="79"/>
      <c r="H249" s="79"/>
      <c r="I249" s="65"/>
      <c r="J249" s="87"/>
      <c r="K249" s="44"/>
      <c r="L249" s="43"/>
      <c r="M249" s="43"/>
      <c r="N249" s="43"/>
      <c r="O249" s="43"/>
      <c r="P249" s="2"/>
      <c r="Q249" s="2"/>
      <c r="R249" s="2"/>
      <c r="S249" s="2"/>
      <c r="T249" s="2"/>
      <c r="U249" s="2"/>
      <c r="V249" s="2"/>
    </row>
    <row r="250" spans="1:22" ht="11.25" customHeight="1" x14ac:dyDescent="0.3">
      <c r="A250" s="43"/>
      <c r="B250" s="81" t="s">
        <v>13</v>
      </c>
      <c r="C250" s="88">
        <f>C249/E316</f>
        <v>2.2562398303307647E-2</v>
      </c>
      <c r="D250" s="55"/>
      <c r="E250" s="83"/>
      <c r="F250" s="84"/>
      <c r="G250" s="14"/>
      <c r="H250" s="84"/>
      <c r="I250" s="56"/>
      <c r="J250" s="108"/>
      <c r="K250" s="44"/>
      <c r="L250" s="43"/>
      <c r="M250" s="43"/>
      <c r="N250" s="43"/>
      <c r="O250" s="43"/>
      <c r="P250" s="2"/>
      <c r="Q250" s="2"/>
      <c r="R250" s="2"/>
      <c r="S250" s="2"/>
      <c r="T250" s="2"/>
      <c r="U250" s="2"/>
      <c r="V250" s="2"/>
    </row>
    <row r="251" spans="1:22" ht="11.25" customHeight="1" x14ac:dyDescent="0.3">
      <c r="A251" s="43"/>
      <c r="B251" s="104"/>
      <c r="C251" s="2"/>
      <c r="D251" s="69"/>
      <c r="E251" s="2"/>
      <c r="F251" s="69"/>
      <c r="G251" s="100"/>
      <c r="H251" s="69"/>
      <c r="I251" s="100"/>
      <c r="J251" s="101"/>
      <c r="K251" s="44"/>
      <c r="L251" s="43"/>
      <c r="M251" s="43"/>
      <c r="N251" s="43"/>
      <c r="O251" s="43"/>
      <c r="P251" s="2"/>
      <c r="Q251" s="2"/>
      <c r="R251" s="2"/>
      <c r="S251" s="2"/>
      <c r="T251" s="2"/>
      <c r="U251" s="2"/>
      <c r="V251" s="2"/>
    </row>
    <row r="252" spans="1:22" s="244" customFormat="1" ht="11.25" customHeight="1" x14ac:dyDescent="0.3">
      <c r="A252" s="241"/>
      <c r="B252" s="71">
        <v>17</v>
      </c>
      <c r="C252" s="73" t="s">
        <v>52</v>
      </c>
      <c r="D252" s="74" t="s">
        <v>0</v>
      </c>
      <c r="E252" s="72" t="s">
        <v>1</v>
      </c>
      <c r="F252" s="75" t="s">
        <v>2</v>
      </c>
      <c r="G252" s="75" t="s">
        <v>3</v>
      </c>
      <c r="H252" s="75" t="s">
        <v>2</v>
      </c>
      <c r="I252" s="75" t="s">
        <v>3</v>
      </c>
      <c r="J252" s="76" t="s">
        <v>4</v>
      </c>
      <c r="K252" s="242"/>
      <c r="L252" s="241"/>
      <c r="M252" s="241"/>
      <c r="N252" s="241"/>
      <c r="O252" s="241"/>
      <c r="P252" s="243"/>
      <c r="Q252" s="243"/>
      <c r="R252" s="243"/>
      <c r="S252" s="243"/>
      <c r="T252" s="243"/>
      <c r="U252" s="243"/>
      <c r="V252" s="243"/>
    </row>
    <row r="253" spans="1:22" s="124" customFormat="1" ht="11.25" customHeight="1" x14ac:dyDescent="0.3">
      <c r="A253" s="136"/>
      <c r="B253" s="171">
        <v>17.100000000000001</v>
      </c>
      <c r="C253" s="125" t="s">
        <v>282</v>
      </c>
      <c r="D253" s="137">
        <v>1</v>
      </c>
      <c r="E253" s="138" t="s">
        <v>8</v>
      </c>
      <c r="F253" s="139">
        <v>8000</v>
      </c>
      <c r="G253" s="139"/>
      <c r="H253" s="139">
        <f>F253*D253</f>
        <v>8000</v>
      </c>
      <c r="I253" s="142">
        <f>D253*G253</f>
        <v>0</v>
      </c>
      <c r="J253" s="240">
        <f>I253+H253</f>
        <v>8000</v>
      </c>
      <c r="K253" s="140"/>
      <c r="L253" s="136"/>
      <c r="M253" s="136"/>
      <c r="N253" s="136"/>
      <c r="O253" s="136"/>
      <c r="P253" s="141"/>
      <c r="Q253" s="141"/>
      <c r="R253" s="141"/>
      <c r="S253" s="141"/>
      <c r="T253" s="141"/>
      <c r="U253" s="141"/>
      <c r="V253" s="141"/>
    </row>
    <row r="254" spans="1:22" ht="11.25" customHeight="1" x14ac:dyDescent="0.3">
      <c r="A254" s="43"/>
      <c r="B254" s="45" t="s">
        <v>12</v>
      </c>
      <c r="C254" s="17">
        <f>SUM(J253:J253)</f>
        <v>8000</v>
      </c>
      <c r="D254" s="64"/>
      <c r="E254" s="63"/>
      <c r="F254" s="65"/>
      <c r="G254" s="1"/>
      <c r="H254" s="68"/>
      <c r="I254" s="65"/>
      <c r="J254" s="87"/>
      <c r="K254" s="44"/>
      <c r="L254" s="43"/>
      <c r="M254" s="43"/>
      <c r="N254" s="43"/>
      <c r="O254" s="43"/>
      <c r="P254" s="2"/>
      <c r="Q254" s="2"/>
      <c r="R254" s="2"/>
      <c r="S254" s="2"/>
      <c r="T254" s="2"/>
      <c r="U254" s="2"/>
      <c r="V254" s="2"/>
    </row>
    <row r="255" spans="1:22" ht="11.25" customHeight="1" x14ac:dyDescent="0.3">
      <c r="A255" s="43"/>
      <c r="B255" s="81" t="s">
        <v>13</v>
      </c>
      <c r="C255" s="88">
        <f>C254/E316</f>
        <v>2.1235198403113081E-2</v>
      </c>
      <c r="D255" s="64"/>
      <c r="E255" s="63"/>
      <c r="F255" s="65"/>
      <c r="G255" s="65"/>
      <c r="H255" s="68"/>
      <c r="I255" s="65"/>
      <c r="J255" s="87"/>
      <c r="K255" s="44"/>
      <c r="L255" s="43"/>
      <c r="M255" s="43"/>
      <c r="N255" s="43"/>
      <c r="O255" s="43"/>
      <c r="P255" s="2"/>
      <c r="Q255" s="2"/>
      <c r="R255" s="2"/>
      <c r="S255" s="2"/>
      <c r="T255" s="2"/>
      <c r="U255" s="2"/>
      <c r="V255" s="2"/>
    </row>
    <row r="256" spans="1:22" ht="11.25" customHeight="1" x14ac:dyDescent="0.3">
      <c r="A256" s="43"/>
      <c r="B256" s="104"/>
      <c r="C256" s="2"/>
      <c r="D256" s="69"/>
      <c r="E256" s="2"/>
      <c r="F256" s="69"/>
      <c r="G256" s="100"/>
      <c r="H256" s="69"/>
      <c r="I256" s="100"/>
      <c r="J256" s="101"/>
      <c r="K256" s="44"/>
      <c r="L256" s="43"/>
      <c r="M256" s="43"/>
      <c r="N256" s="43"/>
      <c r="O256" s="43"/>
      <c r="P256" s="2"/>
      <c r="Q256" s="2"/>
      <c r="R256" s="2"/>
      <c r="S256" s="2"/>
      <c r="T256" s="2"/>
      <c r="U256" s="2"/>
      <c r="V256" s="2"/>
    </row>
    <row r="257" spans="1:22" ht="11.25" customHeight="1" x14ac:dyDescent="0.3">
      <c r="A257" s="43"/>
      <c r="B257" s="71">
        <v>18</v>
      </c>
      <c r="C257" s="73" t="s">
        <v>53</v>
      </c>
      <c r="D257" s="74" t="s">
        <v>0</v>
      </c>
      <c r="E257" s="72" t="s">
        <v>1</v>
      </c>
      <c r="F257" s="75" t="s">
        <v>2</v>
      </c>
      <c r="G257" s="75" t="s">
        <v>3</v>
      </c>
      <c r="H257" s="75" t="s">
        <v>2</v>
      </c>
      <c r="I257" s="75" t="s">
        <v>3</v>
      </c>
      <c r="J257" s="76" t="s">
        <v>4</v>
      </c>
      <c r="K257" s="44"/>
      <c r="L257" s="43"/>
      <c r="M257" s="43"/>
      <c r="N257" s="43"/>
      <c r="O257" s="43"/>
      <c r="P257" s="2"/>
      <c r="Q257" s="2"/>
      <c r="R257" s="2"/>
      <c r="S257" s="2"/>
      <c r="T257" s="2"/>
      <c r="U257" s="2"/>
      <c r="V257" s="2"/>
    </row>
    <row r="258" spans="1:22" ht="11.25" customHeight="1" x14ac:dyDescent="0.3">
      <c r="A258" s="43"/>
      <c r="B258" s="7">
        <v>18.100000000000001</v>
      </c>
      <c r="C258" s="135" t="s">
        <v>283</v>
      </c>
      <c r="D258" s="16">
        <v>2</v>
      </c>
      <c r="E258" s="8" t="s">
        <v>46</v>
      </c>
      <c r="F258" s="12">
        <v>1800</v>
      </c>
      <c r="G258" s="12">
        <v>0</v>
      </c>
      <c r="H258" s="12">
        <f>F258*D258</f>
        <v>3600</v>
      </c>
      <c r="I258" s="11">
        <f>D258*G258</f>
        <v>0</v>
      </c>
      <c r="J258" s="13">
        <f>I258+H258</f>
        <v>3600</v>
      </c>
      <c r="K258" s="44"/>
      <c r="L258" s="43"/>
      <c r="M258" s="43"/>
      <c r="N258" s="43"/>
      <c r="O258" s="43"/>
      <c r="P258" s="2"/>
      <c r="Q258" s="2"/>
      <c r="R258" s="2"/>
      <c r="S258" s="2"/>
      <c r="T258" s="2"/>
      <c r="U258" s="2"/>
      <c r="V258" s="2"/>
    </row>
    <row r="259" spans="1:22" ht="11.25" customHeight="1" x14ac:dyDescent="0.3">
      <c r="A259" s="43"/>
      <c r="B259" s="7">
        <v>18.2</v>
      </c>
      <c r="C259" s="15" t="s">
        <v>295</v>
      </c>
      <c r="D259" s="16">
        <v>1</v>
      </c>
      <c r="E259" s="8" t="s">
        <v>46</v>
      </c>
      <c r="F259" s="12">
        <f>450+700</f>
        <v>1150</v>
      </c>
      <c r="G259" s="12">
        <v>0</v>
      </c>
      <c r="H259" s="12">
        <f t="shared" ref="H259:H260" si="78">F259*D259</f>
        <v>1150</v>
      </c>
      <c r="I259" s="11">
        <f t="shared" ref="I259:I260" si="79">D259*G259</f>
        <v>0</v>
      </c>
      <c r="J259" s="13">
        <f t="shared" ref="J259:J260" si="80">I259+H259</f>
        <v>1150</v>
      </c>
      <c r="K259" s="44"/>
      <c r="L259" s="43"/>
      <c r="M259" s="43"/>
      <c r="N259" s="43"/>
      <c r="O259" s="43"/>
      <c r="P259" s="2"/>
      <c r="Q259" s="2"/>
      <c r="R259" s="2"/>
      <c r="S259" s="2"/>
      <c r="T259" s="2"/>
      <c r="U259" s="2"/>
      <c r="V259" s="2"/>
    </row>
    <row r="260" spans="1:22" s="239" customFormat="1" ht="11.25" customHeight="1" x14ac:dyDescent="0.3">
      <c r="A260" s="174"/>
      <c r="B260" s="175">
        <v>18.3</v>
      </c>
      <c r="C260" s="250" t="s">
        <v>128</v>
      </c>
      <c r="D260" s="126">
        <v>0</v>
      </c>
      <c r="E260" s="177" t="s">
        <v>46</v>
      </c>
      <c r="F260" s="178">
        <v>0</v>
      </c>
      <c r="G260" s="178">
        <v>0</v>
      </c>
      <c r="H260" s="178">
        <f t="shared" si="78"/>
        <v>0</v>
      </c>
      <c r="I260" s="128">
        <f t="shared" si="79"/>
        <v>0</v>
      </c>
      <c r="J260" s="179">
        <f t="shared" si="80"/>
        <v>0</v>
      </c>
      <c r="K260" s="180"/>
      <c r="L260" s="174"/>
      <c r="M260" s="174"/>
      <c r="N260" s="174"/>
      <c r="O260" s="174"/>
      <c r="P260" s="181"/>
      <c r="Q260" s="181"/>
      <c r="R260" s="181"/>
      <c r="S260" s="181"/>
      <c r="T260" s="181"/>
      <c r="U260" s="181"/>
      <c r="V260" s="181"/>
    </row>
    <row r="261" spans="1:22" s="239" customFormat="1" ht="11.25" customHeight="1" x14ac:dyDescent="0.3">
      <c r="A261" s="174"/>
      <c r="B261" s="175">
        <v>18.399999999999999</v>
      </c>
      <c r="C261" s="250" t="s">
        <v>129</v>
      </c>
      <c r="D261" s="126">
        <v>0</v>
      </c>
      <c r="E261" s="177" t="s">
        <v>46</v>
      </c>
      <c r="F261" s="178">
        <v>0</v>
      </c>
      <c r="G261" s="178">
        <v>0</v>
      </c>
      <c r="H261" s="178">
        <f t="shared" ref="H261:H280" si="81">F261*D261</f>
        <v>0</v>
      </c>
      <c r="I261" s="128">
        <f t="shared" ref="I261:I280" si="82">D261*G261</f>
        <v>0</v>
      </c>
      <c r="J261" s="179">
        <f t="shared" ref="J261:J280" si="83">I261+H261</f>
        <v>0</v>
      </c>
      <c r="K261" s="180"/>
      <c r="L261" s="174"/>
      <c r="M261" s="174"/>
      <c r="N261" s="174"/>
      <c r="O261" s="174"/>
      <c r="P261" s="181"/>
      <c r="Q261" s="181"/>
      <c r="R261" s="181"/>
      <c r="S261" s="181"/>
      <c r="T261" s="181"/>
      <c r="U261" s="181"/>
      <c r="V261" s="181"/>
    </row>
    <row r="262" spans="1:22" s="239" customFormat="1" ht="11.25" customHeight="1" x14ac:dyDescent="0.3">
      <c r="A262" s="174"/>
      <c r="B262" s="175">
        <v>18.5</v>
      </c>
      <c r="C262" s="176" t="s">
        <v>130</v>
      </c>
      <c r="D262" s="126">
        <v>0</v>
      </c>
      <c r="E262" s="177" t="s">
        <v>46</v>
      </c>
      <c r="F262" s="178">
        <v>0</v>
      </c>
      <c r="G262" s="178">
        <v>0</v>
      </c>
      <c r="H262" s="178">
        <f t="shared" si="81"/>
        <v>0</v>
      </c>
      <c r="I262" s="128">
        <f t="shared" si="82"/>
        <v>0</v>
      </c>
      <c r="J262" s="179">
        <f t="shared" si="83"/>
        <v>0</v>
      </c>
      <c r="K262" s="180"/>
      <c r="L262" s="174"/>
      <c r="M262" s="174"/>
      <c r="N262" s="174"/>
      <c r="O262" s="174"/>
      <c r="P262" s="181"/>
      <c r="Q262" s="181"/>
      <c r="R262" s="181"/>
      <c r="S262" s="181"/>
      <c r="T262" s="181"/>
      <c r="U262" s="181"/>
      <c r="V262" s="181"/>
    </row>
    <row r="263" spans="1:22" ht="11.25" customHeight="1" x14ac:dyDescent="0.3">
      <c r="A263" s="43"/>
      <c r="B263" s="7">
        <v>18.600000000000001</v>
      </c>
      <c r="C263" s="135" t="s">
        <v>284</v>
      </c>
      <c r="D263" s="16">
        <v>1</v>
      </c>
      <c r="E263" s="8" t="s">
        <v>46</v>
      </c>
      <c r="F263" s="12">
        <v>1300</v>
      </c>
      <c r="G263" s="12">
        <v>0</v>
      </c>
      <c r="H263" s="12">
        <f t="shared" si="81"/>
        <v>1300</v>
      </c>
      <c r="I263" s="11">
        <f t="shared" si="82"/>
        <v>0</v>
      </c>
      <c r="J263" s="13">
        <f t="shared" si="83"/>
        <v>1300</v>
      </c>
      <c r="K263" s="44"/>
      <c r="L263" s="43"/>
      <c r="M263" s="43"/>
      <c r="N263" s="43"/>
      <c r="O263" s="43"/>
      <c r="P263" s="2"/>
      <c r="Q263" s="2"/>
      <c r="R263" s="2"/>
      <c r="S263" s="2"/>
      <c r="T263" s="2"/>
      <c r="U263" s="2"/>
      <c r="V263" s="2"/>
    </row>
    <row r="264" spans="1:22" s="239" customFormat="1" ht="11.25" customHeight="1" x14ac:dyDescent="0.3">
      <c r="A264" s="174"/>
      <c r="B264" s="175">
        <v>18.7</v>
      </c>
      <c r="C264" s="176" t="s">
        <v>131</v>
      </c>
      <c r="D264" s="126">
        <v>0</v>
      </c>
      <c r="E264" s="177" t="s">
        <v>46</v>
      </c>
      <c r="F264" s="178">
        <v>0</v>
      </c>
      <c r="G264" s="178">
        <v>0</v>
      </c>
      <c r="H264" s="178">
        <f t="shared" si="81"/>
        <v>0</v>
      </c>
      <c r="I264" s="128">
        <f t="shared" si="82"/>
        <v>0</v>
      </c>
      <c r="J264" s="179">
        <f t="shared" si="83"/>
        <v>0</v>
      </c>
      <c r="K264" s="180"/>
      <c r="L264" s="174"/>
      <c r="M264" s="174"/>
      <c r="N264" s="174"/>
      <c r="O264" s="174"/>
      <c r="P264" s="181"/>
      <c r="Q264" s="181"/>
      <c r="R264" s="181"/>
      <c r="S264" s="181"/>
      <c r="T264" s="181"/>
      <c r="U264" s="181"/>
      <c r="V264" s="181"/>
    </row>
    <row r="265" spans="1:22" ht="11.25" customHeight="1" x14ac:dyDescent="0.3">
      <c r="A265" s="43"/>
      <c r="B265" s="7">
        <v>18.8</v>
      </c>
      <c r="C265" s="15" t="s">
        <v>285</v>
      </c>
      <c r="D265" s="16">
        <v>1</v>
      </c>
      <c r="E265" s="8" t="s">
        <v>46</v>
      </c>
      <c r="F265" s="12">
        <f>1300+700</f>
        <v>2000</v>
      </c>
      <c r="G265" s="12">
        <v>0</v>
      </c>
      <c r="H265" s="12">
        <f t="shared" si="81"/>
        <v>2000</v>
      </c>
      <c r="I265" s="11">
        <f t="shared" si="82"/>
        <v>0</v>
      </c>
      <c r="J265" s="13">
        <f t="shared" si="83"/>
        <v>2000</v>
      </c>
      <c r="K265" s="44"/>
      <c r="L265" s="43"/>
      <c r="M265" s="43"/>
      <c r="N265" s="43"/>
      <c r="O265" s="43"/>
      <c r="P265" s="2"/>
      <c r="Q265" s="2"/>
      <c r="R265" s="2"/>
      <c r="S265" s="2"/>
      <c r="T265" s="2"/>
      <c r="U265" s="2"/>
      <c r="V265" s="2"/>
    </row>
    <row r="266" spans="1:22" ht="11.25" customHeight="1" x14ac:dyDescent="0.3">
      <c r="A266" s="43"/>
      <c r="B266" s="7">
        <v>18.899999999999999</v>
      </c>
      <c r="C266" s="15" t="s">
        <v>286</v>
      </c>
      <c r="D266" s="16">
        <v>4</v>
      </c>
      <c r="E266" s="8" t="s">
        <v>46</v>
      </c>
      <c r="F266" s="12">
        <v>3500</v>
      </c>
      <c r="G266" s="12">
        <v>0</v>
      </c>
      <c r="H266" s="12">
        <f t="shared" si="81"/>
        <v>14000</v>
      </c>
      <c r="I266" s="11">
        <f t="shared" si="82"/>
        <v>0</v>
      </c>
      <c r="J266" s="13">
        <f t="shared" si="83"/>
        <v>14000</v>
      </c>
      <c r="K266" s="44"/>
      <c r="L266" s="43"/>
      <c r="M266" s="43"/>
      <c r="N266" s="43"/>
      <c r="O266" s="43"/>
      <c r="P266" s="2"/>
      <c r="Q266" s="2"/>
      <c r="R266" s="2"/>
      <c r="S266" s="2"/>
      <c r="T266" s="2"/>
      <c r="U266" s="2"/>
      <c r="V266" s="2"/>
    </row>
    <row r="267" spans="1:22" s="239" customFormat="1" ht="11.25" customHeight="1" x14ac:dyDescent="0.3">
      <c r="A267" s="174"/>
      <c r="B267" s="251">
        <v>18.100000000000001</v>
      </c>
      <c r="C267" s="250" t="s">
        <v>132</v>
      </c>
      <c r="D267" s="126">
        <v>0</v>
      </c>
      <c r="E267" s="177" t="s">
        <v>46</v>
      </c>
      <c r="F267" s="178">
        <v>0</v>
      </c>
      <c r="G267" s="178">
        <v>0</v>
      </c>
      <c r="H267" s="178">
        <f t="shared" si="81"/>
        <v>0</v>
      </c>
      <c r="I267" s="128">
        <f t="shared" si="82"/>
        <v>0</v>
      </c>
      <c r="J267" s="179">
        <f t="shared" si="83"/>
        <v>0</v>
      </c>
      <c r="K267" s="180"/>
      <c r="L267" s="174"/>
      <c r="M267" s="174"/>
      <c r="N267" s="174"/>
      <c r="O267" s="174"/>
      <c r="P267" s="181"/>
      <c r="Q267" s="181"/>
      <c r="R267" s="181"/>
      <c r="S267" s="181"/>
      <c r="T267" s="181"/>
      <c r="U267" s="181"/>
      <c r="V267" s="181"/>
    </row>
    <row r="268" spans="1:22" s="239" customFormat="1" ht="11.25" customHeight="1" x14ac:dyDescent="0.3">
      <c r="A268" s="174"/>
      <c r="B268" s="175">
        <v>18.11</v>
      </c>
      <c r="C268" s="250" t="s">
        <v>133</v>
      </c>
      <c r="D268" s="126">
        <v>0</v>
      </c>
      <c r="E268" s="177" t="s">
        <v>46</v>
      </c>
      <c r="F268" s="178">
        <v>0</v>
      </c>
      <c r="G268" s="178">
        <v>0</v>
      </c>
      <c r="H268" s="178">
        <f t="shared" si="81"/>
        <v>0</v>
      </c>
      <c r="I268" s="128">
        <f t="shared" si="82"/>
        <v>0</v>
      </c>
      <c r="J268" s="179">
        <f t="shared" si="83"/>
        <v>0</v>
      </c>
      <c r="K268" s="180"/>
      <c r="L268" s="174"/>
      <c r="M268" s="174"/>
      <c r="N268" s="174"/>
      <c r="O268" s="174"/>
      <c r="P268" s="181"/>
      <c r="Q268" s="181"/>
      <c r="R268" s="181"/>
      <c r="S268" s="181"/>
      <c r="T268" s="181"/>
      <c r="U268" s="181"/>
      <c r="V268" s="181"/>
    </row>
    <row r="269" spans="1:22" s="239" customFormat="1" ht="11.25" customHeight="1" x14ac:dyDescent="0.3">
      <c r="A269" s="174"/>
      <c r="B269" s="175">
        <v>18.12</v>
      </c>
      <c r="C269" s="250" t="s">
        <v>134</v>
      </c>
      <c r="D269" s="126">
        <v>0</v>
      </c>
      <c r="E269" s="177" t="s">
        <v>46</v>
      </c>
      <c r="F269" s="178">
        <v>0</v>
      </c>
      <c r="G269" s="178">
        <v>0</v>
      </c>
      <c r="H269" s="178">
        <f t="shared" si="81"/>
        <v>0</v>
      </c>
      <c r="I269" s="128">
        <f t="shared" si="82"/>
        <v>0</v>
      </c>
      <c r="J269" s="179">
        <f t="shared" si="83"/>
        <v>0</v>
      </c>
      <c r="K269" s="180"/>
      <c r="L269" s="174"/>
      <c r="M269" s="174"/>
      <c r="N269" s="174"/>
      <c r="O269" s="174"/>
      <c r="P269" s="181"/>
      <c r="Q269" s="181"/>
      <c r="R269" s="181"/>
      <c r="S269" s="181"/>
      <c r="T269" s="181"/>
      <c r="U269" s="181"/>
      <c r="V269" s="181"/>
    </row>
    <row r="270" spans="1:22" s="239" customFormat="1" ht="11.25" customHeight="1" x14ac:dyDescent="0.3">
      <c r="A270" s="174"/>
      <c r="B270" s="251">
        <v>18.13</v>
      </c>
      <c r="C270" s="250" t="s">
        <v>135</v>
      </c>
      <c r="D270" s="126">
        <v>0</v>
      </c>
      <c r="E270" s="177" t="s">
        <v>46</v>
      </c>
      <c r="F270" s="178">
        <v>0</v>
      </c>
      <c r="G270" s="178">
        <v>0</v>
      </c>
      <c r="H270" s="178">
        <f t="shared" si="81"/>
        <v>0</v>
      </c>
      <c r="I270" s="128">
        <f t="shared" si="82"/>
        <v>0</v>
      </c>
      <c r="J270" s="179">
        <f t="shared" si="83"/>
        <v>0</v>
      </c>
      <c r="K270" s="180"/>
      <c r="L270" s="174"/>
      <c r="M270" s="174"/>
      <c r="N270" s="174"/>
      <c r="O270" s="174"/>
      <c r="P270" s="181"/>
      <c r="Q270" s="181"/>
      <c r="R270" s="181"/>
      <c r="S270" s="181"/>
      <c r="T270" s="181"/>
      <c r="U270" s="181"/>
      <c r="V270" s="181"/>
    </row>
    <row r="271" spans="1:22" s="239" customFormat="1" ht="11.25" customHeight="1" x14ac:dyDescent="0.3">
      <c r="A271" s="174"/>
      <c r="B271" s="175">
        <v>18.14</v>
      </c>
      <c r="C271" s="250" t="s">
        <v>136</v>
      </c>
      <c r="D271" s="126">
        <v>0</v>
      </c>
      <c r="E271" s="177" t="s">
        <v>46</v>
      </c>
      <c r="F271" s="178">
        <v>0</v>
      </c>
      <c r="G271" s="178">
        <v>0</v>
      </c>
      <c r="H271" s="178">
        <f t="shared" si="81"/>
        <v>0</v>
      </c>
      <c r="I271" s="128">
        <f t="shared" si="82"/>
        <v>0</v>
      </c>
      <c r="J271" s="179">
        <f t="shared" si="83"/>
        <v>0</v>
      </c>
      <c r="K271" s="180"/>
      <c r="L271" s="174"/>
      <c r="M271" s="174"/>
      <c r="N271" s="174"/>
      <c r="O271" s="174"/>
      <c r="P271" s="181"/>
      <c r="Q271" s="181"/>
      <c r="R271" s="181"/>
      <c r="S271" s="181"/>
      <c r="T271" s="181"/>
      <c r="U271" s="181"/>
      <c r="V271" s="181"/>
    </row>
    <row r="272" spans="1:22" ht="11.25" customHeight="1" x14ac:dyDescent="0.3">
      <c r="A272" s="43"/>
      <c r="B272" s="7">
        <v>18.149999999999999</v>
      </c>
      <c r="C272" s="135" t="s">
        <v>287</v>
      </c>
      <c r="D272" s="16">
        <v>2</v>
      </c>
      <c r="E272" s="8" t="s">
        <v>46</v>
      </c>
      <c r="F272" s="12">
        <v>800</v>
      </c>
      <c r="G272" s="12">
        <v>0</v>
      </c>
      <c r="H272" s="12">
        <f t="shared" si="81"/>
        <v>1600</v>
      </c>
      <c r="I272" s="11">
        <f t="shared" si="82"/>
        <v>0</v>
      </c>
      <c r="J272" s="13">
        <f t="shared" si="83"/>
        <v>1600</v>
      </c>
      <c r="K272" s="44"/>
      <c r="L272" s="43"/>
      <c r="M272" s="43"/>
      <c r="N272" s="43"/>
      <c r="O272" s="43"/>
      <c r="P272" s="2"/>
      <c r="Q272" s="2"/>
      <c r="R272" s="2"/>
      <c r="S272" s="2"/>
      <c r="T272" s="2"/>
      <c r="U272" s="2"/>
      <c r="V272" s="2"/>
    </row>
    <row r="273" spans="1:22" s="239" customFormat="1" ht="11.25" customHeight="1" x14ac:dyDescent="0.3">
      <c r="A273" s="174"/>
      <c r="B273" s="251">
        <v>18.16</v>
      </c>
      <c r="C273" s="250" t="s">
        <v>137</v>
      </c>
      <c r="D273" s="126">
        <v>0</v>
      </c>
      <c r="E273" s="177" t="s">
        <v>46</v>
      </c>
      <c r="F273" s="178">
        <v>0</v>
      </c>
      <c r="G273" s="178">
        <v>0</v>
      </c>
      <c r="H273" s="178">
        <f t="shared" si="81"/>
        <v>0</v>
      </c>
      <c r="I273" s="128">
        <f t="shared" si="82"/>
        <v>0</v>
      </c>
      <c r="J273" s="179">
        <f t="shared" si="83"/>
        <v>0</v>
      </c>
      <c r="K273" s="180"/>
      <c r="L273" s="174"/>
      <c r="M273" s="174"/>
      <c r="N273" s="174"/>
      <c r="O273" s="174"/>
      <c r="P273" s="181"/>
      <c r="Q273" s="181"/>
      <c r="R273" s="181"/>
      <c r="S273" s="181"/>
      <c r="T273" s="181"/>
      <c r="U273" s="181"/>
      <c r="V273" s="181"/>
    </row>
    <row r="274" spans="1:22" ht="11.25" customHeight="1" x14ac:dyDescent="0.3">
      <c r="A274" s="43"/>
      <c r="B274" s="7">
        <v>18.170000000000002</v>
      </c>
      <c r="C274" s="135" t="s">
        <v>294</v>
      </c>
      <c r="D274" s="16">
        <v>1</v>
      </c>
      <c r="E274" s="8" t="s">
        <v>46</v>
      </c>
      <c r="F274" s="12">
        <v>2530</v>
      </c>
      <c r="G274" s="12">
        <v>0</v>
      </c>
      <c r="H274" s="12">
        <f t="shared" si="81"/>
        <v>2530</v>
      </c>
      <c r="I274" s="11">
        <f t="shared" si="82"/>
        <v>0</v>
      </c>
      <c r="J274" s="13">
        <f t="shared" si="83"/>
        <v>2530</v>
      </c>
      <c r="K274" s="44"/>
      <c r="L274" s="43"/>
      <c r="M274" s="43"/>
      <c r="N274" s="43"/>
      <c r="O274" s="43"/>
      <c r="P274" s="2"/>
      <c r="Q274" s="2"/>
      <c r="R274" s="2"/>
      <c r="S274" s="2"/>
      <c r="T274" s="2"/>
      <c r="U274" s="2"/>
      <c r="V274" s="2"/>
    </row>
    <row r="275" spans="1:22" ht="11.25" customHeight="1" x14ac:dyDescent="0.3">
      <c r="A275" s="43"/>
      <c r="B275" s="7">
        <v>18.18</v>
      </c>
      <c r="C275" s="135" t="s">
        <v>293</v>
      </c>
      <c r="D275" s="16">
        <v>4</v>
      </c>
      <c r="E275" s="8" t="s">
        <v>46</v>
      </c>
      <c r="F275" s="12">
        <v>1200</v>
      </c>
      <c r="G275" s="12">
        <v>0</v>
      </c>
      <c r="H275" s="12">
        <f t="shared" si="81"/>
        <v>4800</v>
      </c>
      <c r="I275" s="11">
        <f t="shared" si="82"/>
        <v>0</v>
      </c>
      <c r="J275" s="13">
        <f t="shared" si="83"/>
        <v>4800</v>
      </c>
      <c r="K275" s="44"/>
      <c r="L275" s="43"/>
      <c r="M275" s="43"/>
      <c r="N275" s="43"/>
      <c r="O275" s="43"/>
      <c r="P275" s="2"/>
      <c r="Q275" s="2"/>
      <c r="R275" s="2"/>
      <c r="S275" s="2"/>
      <c r="T275" s="2"/>
      <c r="U275" s="2"/>
      <c r="V275" s="2"/>
    </row>
    <row r="276" spans="1:22" ht="11.25" customHeight="1" x14ac:dyDescent="0.3">
      <c r="A276" s="43"/>
      <c r="B276" s="172">
        <v>18.190000000000001</v>
      </c>
      <c r="C276" s="135" t="s">
        <v>292</v>
      </c>
      <c r="D276" s="16">
        <v>1</v>
      </c>
      <c r="E276" s="8" t="s">
        <v>8</v>
      </c>
      <c r="F276" s="12">
        <f>750+150+150+350</f>
        <v>1400</v>
      </c>
      <c r="G276" s="12">
        <v>0</v>
      </c>
      <c r="H276" s="12">
        <f t="shared" si="81"/>
        <v>1400</v>
      </c>
      <c r="I276" s="11">
        <f t="shared" si="82"/>
        <v>0</v>
      </c>
      <c r="J276" s="13">
        <f t="shared" si="83"/>
        <v>1400</v>
      </c>
      <c r="K276" s="44"/>
      <c r="L276" s="43"/>
      <c r="M276" s="43"/>
      <c r="N276" s="43"/>
      <c r="O276" s="43"/>
      <c r="P276" s="2"/>
      <c r="Q276" s="2"/>
      <c r="R276" s="2"/>
      <c r="S276" s="2"/>
      <c r="T276" s="2"/>
      <c r="U276" s="2"/>
      <c r="V276" s="2"/>
    </row>
    <row r="277" spans="1:22" ht="11.25" customHeight="1" x14ac:dyDescent="0.3">
      <c r="A277" s="43"/>
      <c r="B277" s="7">
        <v>18.2</v>
      </c>
      <c r="C277" s="135" t="s">
        <v>289</v>
      </c>
      <c r="D277" s="16">
        <v>1</v>
      </c>
      <c r="E277" s="8" t="s">
        <v>46</v>
      </c>
      <c r="F277" s="12">
        <v>1800</v>
      </c>
      <c r="G277" s="12">
        <v>0</v>
      </c>
      <c r="H277" s="12">
        <f t="shared" si="81"/>
        <v>1800</v>
      </c>
      <c r="I277" s="11">
        <f t="shared" si="82"/>
        <v>0</v>
      </c>
      <c r="J277" s="13">
        <f t="shared" si="83"/>
        <v>1800</v>
      </c>
      <c r="K277" s="44"/>
      <c r="L277" s="43"/>
      <c r="M277" s="43"/>
      <c r="N277" s="43"/>
      <c r="O277" s="43"/>
      <c r="P277" s="2"/>
      <c r="Q277" s="2"/>
      <c r="R277" s="2"/>
      <c r="S277" s="2"/>
      <c r="T277" s="2"/>
      <c r="U277" s="2"/>
      <c r="V277" s="2"/>
    </row>
    <row r="278" spans="1:22" ht="11.25" customHeight="1" x14ac:dyDescent="0.3">
      <c r="A278" s="43"/>
      <c r="B278" s="7">
        <v>18.21</v>
      </c>
      <c r="C278" s="15" t="s">
        <v>290</v>
      </c>
      <c r="D278" s="16">
        <v>20</v>
      </c>
      <c r="E278" s="8" t="s">
        <v>46</v>
      </c>
      <c r="F278" s="12">
        <v>150</v>
      </c>
      <c r="G278" s="12">
        <v>0</v>
      </c>
      <c r="H278" s="12">
        <f t="shared" si="81"/>
        <v>3000</v>
      </c>
      <c r="I278" s="11">
        <f t="shared" si="82"/>
        <v>0</v>
      </c>
      <c r="J278" s="13">
        <f t="shared" si="83"/>
        <v>3000</v>
      </c>
      <c r="K278" s="44"/>
      <c r="L278" s="43"/>
      <c r="M278" s="43"/>
      <c r="N278" s="43"/>
      <c r="O278" s="43"/>
      <c r="P278" s="2"/>
      <c r="Q278" s="2"/>
      <c r="R278" s="2"/>
      <c r="S278" s="2"/>
      <c r="T278" s="2"/>
      <c r="U278" s="2"/>
      <c r="V278" s="2"/>
    </row>
    <row r="279" spans="1:22" ht="11.25" customHeight="1" x14ac:dyDescent="0.3">
      <c r="A279" s="43"/>
      <c r="B279" s="172">
        <v>18.22</v>
      </c>
      <c r="C279" s="15" t="s">
        <v>288</v>
      </c>
      <c r="D279" s="16">
        <v>1</v>
      </c>
      <c r="E279" s="8" t="s">
        <v>46</v>
      </c>
      <c r="F279" s="12">
        <v>550</v>
      </c>
      <c r="G279" s="12">
        <v>0</v>
      </c>
      <c r="H279" s="12">
        <f t="shared" si="81"/>
        <v>550</v>
      </c>
      <c r="I279" s="11">
        <f t="shared" si="82"/>
        <v>0</v>
      </c>
      <c r="J279" s="13">
        <f t="shared" si="83"/>
        <v>550</v>
      </c>
      <c r="K279" s="44"/>
      <c r="L279" s="43"/>
      <c r="M279" s="43"/>
      <c r="N279" s="43"/>
      <c r="O279" s="43"/>
      <c r="P279" s="2"/>
      <c r="Q279" s="2"/>
      <c r="R279" s="2"/>
      <c r="S279" s="2"/>
      <c r="T279" s="2"/>
      <c r="U279" s="2"/>
      <c r="V279" s="2"/>
    </row>
    <row r="280" spans="1:22" ht="11.25" customHeight="1" x14ac:dyDescent="0.3">
      <c r="A280" s="43"/>
      <c r="B280" s="7">
        <v>18.23</v>
      </c>
      <c r="C280" s="135" t="s">
        <v>291</v>
      </c>
      <c r="D280" s="16">
        <v>8</v>
      </c>
      <c r="E280" s="8" t="s">
        <v>46</v>
      </c>
      <c r="F280" s="12">
        <v>300</v>
      </c>
      <c r="G280" s="12">
        <v>0</v>
      </c>
      <c r="H280" s="12">
        <f t="shared" si="81"/>
        <v>2400</v>
      </c>
      <c r="I280" s="11">
        <f t="shared" si="82"/>
        <v>0</v>
      </c>
      <c r="J280" s="13">
        <f t="shared" si="83"/>
        <v>2400</v>
      </c>
      <c r="K280" s="44"/>
      <c r="L280" s="43"/>
      <c r="M280" s="43"/>
      <c r="N280" s="43"/>
      <c r="O280" s="43"/>
      <c r="P280" s="2"/>
      <c r="Q280" s="2"/>
      <c r="R280" s="2"/>
      <c r="S280" s="2"/>
      <c r="T280" s="2"/>
      <c r="U280" s="2"/>
      <c r="V280" s="2"/>
    </row>
    <row r="281" spans="1:22" ht="11.25" customHeight="1" x14ac:dyDescent="0.3">
      <c r="A281" s="43"/>
      <c r="B281" s="45" t="s">
        <v>12</v>
      </c>
      <c r="C281" s="17">
        <f>SUM(J258:J280)</f>
        <v>40130</v>
      </c>
      <c r="D281" s="64"/>
      <c r="E281" s="63"/>
      <c r="F281" s="65"/>
      <c r="G281" s="1"/>
      <c r="H281" s="68"/>
      <c r="I281" s="65"/>
      <c r="J281" s="87"/>
      <c r="K281" s="44"/>
      <c r="L281" s="43"/>
      <c r="M281" s="43"/>
      <c r="N281" s="43"/>
      <c r="O281" s="43"/>
      <c r="P281" s="2"/>
      <c r="Q281" s="2"/>
      <c r="R281" s="2"/>
      <c r="S281" s="2"/>
      <c r="T281" s="2"/>
      <c r="U281" s="2"/>
      <c r="V281" s="2"/>
    </row>
    <row r="282" spans="1:22" ht="11.25" customHeight="1" x14ac:dyDescent="0.3">
      <c r="A282" s="43"/>
      <c r="B282" s="81" t="s">
        <v>13</v>
      </c>
      <c r="C282" s="88">
        <f>C281/E316</f>
        <v>0.10652106398961599</v>
      </c>
      <c r="D282" s="64"/>
      <c r="E282" s="63"/>
      <c r="F282" s="65"/>
      <c r="G282" s="65"/>
      <c r="H282" s="68"/>
      <c r="I282" s="65"/>
      <c r="J282" s="87"/>
      <c r="K282" s="44"/>
      <c r="L282" s="43"/>
      <c r="M282" s="43"/>
      <c r="N282" s="43"/>
      <c r="O282" s="43"/>
      <c r="P282" s="2"/>
      <c r="Q282" s="2"/>
      <c r="R282" s="2"/>
      <c r="S282" s="2"/>
      <c r="T282" s="2"/>
      <c r="U282" s="2"/>
      <c r="V282" s="2"/>
    </row>
    <row r="283" spans="1:22" ht="11.25" customHeight="1" x14ac:dyDescent="0.3">
      <c r="A283" s="43"/>
      <c r="B283" s="104"/>
      <c r="C283" s="2"/>
      <c r="D283" s="69"/>
      <c r="E283" s="2"/>
      <c r="F283" s="69"/>
      <c r="G283" s="100"/>
      <c r="H283" s="69"/>
      <c r="I283" s="100"/>
      <c r="J283" s="101"/>
      <c r="K283" s="44"/>
      <c r="L283" s="43"/>
      <c r="M283" s="43"/>
      <c r="N283" s="43"/>
      <c r="O283" s="43"/>
      <c r="P283" s="2"/>
      <c r="Q283" s="2"/>
      <c r="R283" s="2"/>
      <c r="S283" s="2"/>
      <c r="T283" s="2"/>
      <c r="U283" s="2"/>
      <c r="V283" s="2"/>
    </row>
    <row r="284" spans="1:22" s="239" customFormat="1" ht="11.25" customHeight="1" x14ac:dyDescent="0.3">
      <c r="A284" s="174"/>
      <c r="B284" s="211">
        <v>19</v>
      </c>
      <c r="C284" s="212" t="s">
        <v>54</v>
      </c>
      <c r="D284" s="213" t="s">
        <v>0</v>
      </c>
      <c r="E284" s="214" t="s">
        <v>1</v>
      </c>
      <c r="F284" s="215" t="s">
        <v>2</v>
      </c>
      <c r="G284" s="215" t="s">
        <v>3</v>
      </c>
      <c r="H284" s="215" t="s">
        <v>2</v>
      </c>
      <c r="I284" s="215" t="s">
        <v>3</v>
      </c>
      <c r="J284" s="216" t="s">
        <v>4</v>
      </c>
      <c r="K284" s="180"/>
      <c r="L284" s="174"/>
      <c r="M284" s="174"/>
      <c r="N284" s="174"/>
      <c r="O284" s="174"/>
      <c r="P284" s="181"/>
      <c r="Q284" s="181"/>
      <c r="R284" s="181"/>
      <c r="S284" s="181"/>
      <c r="T284" s="181"/>
      <c r="U284" s="181"/>
      <c r="V284" s="181"/>
    </row>
    <row r="285" spans="1:22" s="239" customFormat="1" ht="11.25" customHeight="1" x14ac:dyDescent="0.3">
      <c r="A285" s="174"/>
      <c r="B285" s="175">
        <v>19.100000000000001</v>
      </c>
      <c r="C285" s="176" t="s">
        <v>93</v>
      </c>
      <c r="D285" s="126">
        <v>0</v>
      </c>
      <c r="E285" s="177" t="s">
        <v>8</v>
      </c>
      <c r="F285" s="178">
        <v>0</v>
      </c>
      <c r="G285" s="178">
        <v>0</v>
      </c>
      <c r="H285" s="178">
        <f>F285*D285</f>
        <v>0</v>
      </c>
      <c r="I285" s="128">
        <f>D285*G285</f>
        <v>0</v>
      </c>
      <c r="J285" s="179">
        <f>I285+H285</f>
        <v>0</v>
      </c>
      <c r="K285" s="180"/>
      <c r="L285" s="174"/>
      <c r="M285" s="174"/>
      <c r="N285" s="174"/>
      <c r="O285" s="174"/>
      <c r="P285" s="181"/>
      <c r="Q285" s="181"/>
      <c r="R285" s="181"/>
      <c r="S285" s="181"/>
      <c r="T285" s="181"/>
      <c r="U285" s="181"/>
      <c r="V285" s="181"/>
    </row>
    <row r="286" spans="1:22" ht="11.25" customHeight="1" x14ac:dyDescent="0.3">
      <c r="A286" s="43"/>
      <c r="B286" s="45" t="s">
        <v>12</v>
      </c>
      <c r="C286" s="17">
        <f>SUM(J285:J285)</f>
        <v>0</v>
      </c>
      <c r="D286" s="64"/>
      <c r="E286" s="63"/>
      <c r="F286" s="65"/>
      <c r="G286" s="1"/>
      <c r="H286" s="68"/>
      <c r="I286" s="65"/>
      <c r="J286" s="87"/>
      <c r="K286" s="44"/>
      <c r="L286" s="43"/>
      <c r="M286" s="43"/>
      <c r="N286" s="43"/>
      <c r="O286" s="43"/>
      <c r="P286" s="2"/>
      <c r="Q286" s="2"/>
      <c r="R286" s="2"/>
      <c r="S286" s="2"/>
      <c r="T286" s="2"/>
      <c r="U286" s="2"/>
      <c r="V286" s="2"/>
    </row>
    <row r="287" spans="1:22" ht="11.25" customHeight="1" x14ac:dyDescent="0.3">
      <c r="A287" s="43"/>
      <c r="B287" s="81" t="s">
        <v>13</v>
      </c>
      <c r="C287" s="88">
        <f>C286/E316</f>
        <v>0</v>
      </c>
      <c r="D287" s="64"/>
      <c r="E287" s="63"/>
      <c r="F287" s="65"/>
      <c r="G287" s="65"/>
      <c r="H287" s="68"/>
      <c r="I287" s="65"/>
      <c r="J287" s="87"/>
      <c r="K287" s="44"/>
      <c r="L287" s="43"/>
      <c r="M287" s="43"/>
      <c r="N287" s="43"/>
      <c r="O287" s="43"/>
      <c r="P287" s="2"/>
      <c r="Q287" s="2"/>
      <c r="R287" s="2"/>
      <c r="S287" s="2"/>
      <c r="T287" s="2"/>
      <c r="U287" s="2"/>
      <c r="V287" s="2"/>
    </row>
    <row r="288" spans="1:22" ht="11.25" customHeight="1" x14ac:dyDescent="0.3">
      <c r="A288" s="43"/>
      <c r="B288" s="104"/>
      <c r="C288" s="2"/>
      <c r="D288" s="69"/>
      <c r="E288" s="2"/>
      <c r="F288" s="69"/>
      <c r="G288" s="100"/>
      <c r="H288" s="69"/>
      <c r="I288" s="100"/>
      <c r="J288" s="101"/>
      <c r="K288" s="44"/>
      <c r="L288" s="43"/>
      <c r="M288" s="43"/>
      <c r="N288" s="43"/>
      <c r="O288" s="43"/>
      <c r="P288" s="2"/>
      <c r="Q288" s="2"/>
      <c r="R288" s="2"/>
      <c r="S288" s="2"/>
      <c r="T288" s="2"/>
      <c r="U288" s="2"/>
      <c r="V288" s="2"/>
    </row>
    <row r="289" spans="1:22" s="239" customFormat="1" ht="11.25" customHeight="1" x14ac:dyDescent="0.3">
      <c r="A289" s="174"/>
      <c r="B289" s="211">
        <v>20</v>
      </c>
      <c r="C289" s="212" t="s">
        <v>248</v>
      </c>
      <c r="D289" s="213" t="s">
        <v>0</v>
      </c>
      <c r="E289" s="214" t="s">
        <v>1</v>
      </c>
      <c r="F289" s="215" t="s">
        <v>2</v>
      </c>
      <c r="G289" s="215" t="s">
        <v>3</v>
      </c>
      <c r="H289" s="215" t="s">
        <v>2</v>
      </c>
      <c r="I289" s="215" t="s">
        <v>3</v>
      </c>
      <c r="J289" s="216" t="s">
        <v>4</v>
      </c>
      <c r="K289" s="180"/>
      <c r="L289" s="174"/>
      <c r="M289" s="174"/>
      <c r="N289" s="174"/>
      <c r="O289" s="174"/>
      <c r="P289" s="181"/>
      <c r="Q289" s="181"/>
      <c r="R289" s="181"/>
      <c r="S289" s="181"/>
      <c r="T289" s="181"/>
      <c r="U289" s="181"/>
      <c r="V289" s="181"/>
    </row>
    <row r="290" spans="1:22" s="239" customFormat="1" ht="11.25" customHeight="1" x14ac:dyDescent="0.3">
      <c r="A290" s="174"/>
      <c r="B290" s="175">
        <v>20.100000000000001</v>
      </c>
      <c r="C290" s="176" t="s">
        <v>86</v>
      </c>
      <c r="D290" s="126">
        <v>0</v>
      </c>
      <c r="E290" s="177" t="s">
        <v>76</v>
      </c>
      <c r="F290" s="178">
        <v>0</v>
      </c>
      <c r="G290" s="178">
        <v>0</v>
      </c>
      <c r="H290" s="178">
        <f>F290*D290</f>
        <v>0</v>
      </c>
      <c r="I290" s="128">
        <f>D290*G290</f>
        <v>0</v>
      </c>
      <c r="J290" s="179">
        <f>I290+H290</f>
        <v>0</v>
      </c>
      <c r="K290" s="180"/>
      <c r="L290" s="174"/>
      <c r="M290" s="174"/>
      <c r="N290" s="174"/>
      <c r="O290" s="174"/>
      <c r="P290" s="181"/>
      <c r="Q290" s="181"/>
      <c r="R290" s="181"/>
      <c r="S290" s="181"/>
      <c r="T290" s="181"/>
      <c r="U290" s="181"/>
      <c r="V290" s="181"/>
    </row>
    <row r="291" spans="1:22" s="239" customFormat="1" ht="11.25" customHeight="1" x14ac:dyDescent="0.3">
      <c r="A291" s="174"/>
      <c r="B291" s="175">
        <v>20.2</v>
      </c>
      <c r="C291" s="176" t="s">
        <v>87</v>
      </c>
      <c r="D291" s="126">
        <v>0</v>
      </c>
      <c r="E291" s="177" t="s">
        <v>94</v>
      </c>
      <c r="F291" s="178">
        <v>0</v>
      </c>
      <c r="G291" s="178">
        <v>0</v>
      </c>
      <c r="H291" s="178">
        <f t="shared" ref="H291:H294" si="84">F291*D291</f>
        <v>0</v>
      </c>
      <c r="I291" s="128">
        <f t="shared" ref="I291:I294" si="85">D291*G291</f>
        <v>0</v>
      </c>
      <c r="J291" s="179">
        <f t="shared" ref="J291:J293" si="86">I291+H291</f>
        <v>0</v>
      </c>
      <c r="K291" s="180"/>
      <c r="L291" s="174"/>
      <c r="M291" s="174"/>
      <c r="N291" s="174"/>
      <c r="O291" s="174"/>
      <c r="P291" s="181"/>
      <c r="Q291" s="181"/>
      <c r="R291" s="181"/>
      <c r="S291" s="181"/>
      <c r="T291" s="181"/>
      <c r="U291" s="181"/>
      <c r="V291" s="181"/>
    </row>
    <row r="292" spans="1:22" s="239" customFormat="1" ht="11.25" customHeight="1" x14ac:dyDescent="0.3">
      <c r="A292" s="174"/>
      <c r="B292" s="175">
        <v>20.3</v>
      </c>
      <c r="C292" s="176" t="s">
        <v>88</v>
      </c>
      <c r="D292" s="126">
        <v>0</v>
      </c>
      <c r="E292" s="177" t="s">
        <v>76</v>
      </c>
      <c r="F292" s="178">
        <v>0</v>
      </c>
      <c r="G292" s="178">
        <v>0</v>
      </c>
      <c r="H292" s="178">
        <f t="shared" si="84"/>
        <v>0</v>
      </c>
      <c r="I292" s="128">
        <f t="shared" si="85"/>
        <v>0</v>
      </c>
      <c r="J292" s="179">
        <f t="shared" si="86"/>
        <v>0</v>
      </c>
      <c r="K292" s="180"/>
      <c r="L292" s="174"/>
      <c r="M292" s="174"/>
      <c r="N292" s="174"/>
      <c r="O292" s="174"/>
      <c r="P292" s="181"/>
      <c r="Q292" s="181"/>
      <c r="R292" s="181"/>
      <c r="S292" s="181"/>
      <c r="T292" s="181"/>
      <c r="U292" s="181"/>
      <c r="V292" s="181"/>
    </row>
    <row r="293" spans="1:22" s="239" customFormat="1" ht="11.25" customHeight="1" x14ac:dyDescent="0.3">
      <c r="A293" s="174"/>
      <c r="B293" s="175">
        <v>20.399999999999999</v>
      </c>
      <c r="C293" s="252" t="s">
        <v>55</v>
      </c>
      <c r="D293" s="253">
        <v>0</v>
      </c>
      <c r="E293" s="254" t="s">
        <v>94</v>
      </c>
      <c r="F293" s="178">
        <v>0</v>
      </c>
      <c r="G293" s="178">
        <v>0</v>
      </c>
      <c r="H293" s="178">
        <f t="shared" si="84"/>
        <v>0</v>
      </c>
      <c r="I293" s="128">
        <f t="shared" si="85"/>
        <v>0</v>
      </c>
      <c r="J293" s="179">
        <f t="shared" si="86"/>
        <v>0</v>
      </c>
      <c r="K293" s="180"/>
      <c r="L293" s="174"/>
      <c r="M293" s="174"/>
      <c r="N293" s="174"/>
      <c r="O293" s="174"/>
      <c r="P293" s="181"/>
      <c r="Q293" s="181"/>
      <c r="R293" s="181"/>
      <c r="S293" s="181"/>
      <c r="T293" s="181"/>
      <c r="U293" s="181"/>
      <c r="V293" s="181"/>
    </row>
    <row r="294" spans="1:22" s="239" customFormat="1" ht="11.25" customHeight="1" x14ac:dyDescent="0.3">
      <c r="A294" s="174"/>
      <c r="B294" s="175">
        <v>20.5</v>
      </c>
      <c r="C294" s="255" t="s">
        <v>56</v>
      </c>
      <c r="D294" s="229">
        <v>0</v>
      </c>
      <c r="E294" s="230" t="s">
        <v>94</v>
      </c>
      <c r="F294" s="256">
        <v>0</v>
      </c>
      <c r="G294" s="178">
        <v>0</v>
      </c>
      <c r="H294" s="178">
        <f t="shared" si="84"/>
        <v>0</v>
      </c>
      <c r="I294" s="128">
        <f t="shared" si="85"/>
        <v>0</v>
      </c>
      <c r="J294" s="179">
        <f>I294+H294</f>
        <v>0</v>
      </c>
      <c r="K294" s="180"/>
      <c r="L294" s="174"/>
      <c r="M294" s="174"/>
      <c r="N294" s="174"/>
      <c r="O294" s="174"/>
      <c r="P294" s="181"/>
      <c r="Q294" s="181"/>
      <c r="R294" s="181"/>
      <c r="S294" s="181"/>
      <c r="T294" s="181"/>
      <c r="U294" s="181"/>
      <c r="V294" s="181"/>
    </row>
    <row r="295" spans="1:22" s="239" customFormat="1" ht="11.25" customHeight="1" x14ac:dyDescent="0.3">
      <c r="A295" s="174"/>
      <c r="B295" s="257" t="s">
        <v>12</v>
      </c>
      <c r="C295" s="258">
        <f>SUM(J290:J294)</f>
        <v>0</v>
      </c>
      <c r="D295" s="259"/>
      <c r="E295" s="260"/>
      <c r="F295" s="197"/>
      <c r="G295" s="261"/>
      <c r="H295" s="262"/>
      <c r="I295" s="197"/>
      <c r="J295" s="198"/>
      <c r="K295" s="180"/>
      <c r="L295" s="174"/>
      <c r="M295" s="174"/>
      <c r="N295" s="174"/>
      <c r="O295" s="174"/>
      <c r="P295" s="181"/>
      <c r="Q295" s="181"/>
      <c r="R295" s="181"/>
      <c r="S295" s="181"/>
      <c r="T295" s="181"/>
      <c r="U295" s="181"/>
      <c r="V295" s="181"/>
    </row>
    <row r="296" spans="1:22" s="239" customFormat="1" ht="11.25" customHeight="1" x14ac:dyDescent="0.3">
      <c r="A296" s="174"/>
      <c r="B296" s="199" t="s">
        <v>13</v>
      </c>
      <c r="C296" s="210">
        <f>C295/E316</f>
        <v>0</v>
      </c>
      <c r="D296" s="259"/>
      <c r="E296" s="260"/>
      <c r="F296" s="197"/>
      <c r="G296" s="197"/>
      <c r="H296" s="262"/>
      <c r="I296" s="197"/>
      <c r="J296" s="198"/>
      <c r="K296" s="180"/>
      <c r="L296" s="174"/>
      <c r="M296" s="174"/>
      <c r="N296" s="174"/>
      <c r="O296" s="174"/>
      <c r="P296" s="181"/>
      <c r="Q296" s="181"/>
      <c r="R296" s="181"/>
      <c r="S296" s="181"/>
      <c r="T296" s="181"/>
      <c r="U296" s="181"/>
      <c r="V296" s="181"/>
    </row>
    <row r="297" spans="1:22" ht="11.25" customHeight="1" x14ac:dyDescent="0.3">
      <c r="A297" s="43"/>
      <c r="B297" s="104"/>
      <c r="C297" s="2"/>
      <c r="D297" s="69"/>
      <c r="E297" s="2"/>
      <c r="F297" s="69"/>
      <c r="G297" s="100"/>
      <c r="H297" s="69"/>
      <c r="I297" s="100"/>
      <c r="J297" s="101"/>
      <c r="K297" s="44"/>
      <c r="L297" s="43"/>
      <c r="M297" s="43"/>
      <c r="N297" s="43"/>
      <c r="O297" s="43"/>
      <c r="P297" s="2"/>
      <c r="Q297" s="2"/>
      <c r="R297" s="2"/>
      <c r="S297" s="2"/>
      <c r="T297" s="2"/>
      <c r="U297" s="2"/>
      <c r="V297" s="2"/>
    </row>
    <row r="298" spans="1:22" ht="11.25" customHeight="1" x14ac:dyDescent="0.3">
      <c r="A298" s="43"/>
      <c r="B298" s="71">
        <v>21</v>
      </c>
      <c r="C298" s="73" t="s">
        <v>57</v>
      </c>
      <c r="D298" s="74" t="s">
        <v>0</v>
      </c>
      <c r="E298" s="72" t="s">
        <v>1</v>
      </c>
      <c r="F298" s="75" t="s">
        <v>2</v>
      </c>
      <c r="G298" s="75" t="s">
        <v>3</v>
      </c>
      <c r="H298" s="75" t="s">
        <v>2</v>
      </c>
      <c r="I298" s="75" t="s">
        <v>3</v>
      </c>
      <c r="J298" s="76" t="s">
        <v>4</v>
      </c>
      <c r="K298" s="44"/>
      <c r="L298" s="43"/>
      <c r="M298" s="43"/>
      <c r="N298" s="43"/>
      <c r="O298" s="43"/>
      <c r="P298" s="2"/>
      <c r="Q298" s="2"/>
      <c r="R298" s="2"/>
      <c r="S298" s="2"/>
      <c r="T298" s="2"/>
      <c r="U298" s="2"/>
      <c r="V298" s="2"/>
    </row>
    <row r="299" spans="1:22" ht="11.25" customHeight="1" x14ac:dyDescent="0.3">
      <c r="A299" s="43"/>
      <c r="B299" s="7">
        <v>21.1</v>
      </c>
      <c r="C299" s="148" t="s">
        <v>222</v>
      </c>
      <c r="D299" s="16">
        <v>2</v>
      </c>
      <c r="E299" s="8" t="s">
        <v>8</v>
      </c>
      <c r="F299" s="12">
        <v>0</v>
      </c>
      <c r="G299" s="16">
        <f>6800+11000</f>
        <v>17800</v>
      </c>
      <c r="H299" s="12">
        <f>F299*D299</f>
        <v>0</v>
      </c>
      <c r="I299" s="11">
        <f>D299*G299</f>
        <v>35600</v>
      </c>
      <c r="J299" s="13">
        <f t="shared" ref="J299" si="87">H299+I299</f>
        <v>35600</v>
      </c>
      <c r="K299" s="44"/>
      <c r="L299" s="43"/>
      <c r="M299" s="43"/>
      <c r="N299" s="43"/>
      <c r="O299" s="43"/>
      <c r="P299" s="2"/>
      <c r="Q299" s="2"/>
      <c r="R299" s="2"/>
      <c r="S299" s="2"/>
      <c r="T299" s="2"/>
      <c r="U299" s="2"/>
      <c r="V299" s="2"/>
    </row>
    <row r="300" spans="1:22" ht="11.25" customHeight="1" x14ac:dyDescent="0.3">
      <c r="A300" s="43"/>
      <c r="B300" s="7">
        <v>21.2</v>
      </c>
      <c r="C300" s="148" t="s">
        <v>223</v>
      </c>
      <c r="D300" s="16">
        <v>2</v>
      </c>
      <c r="E300" s="8" t="s">
        <v>8</v>
      </c>
      <c r="F300" s="12"/>
      <c r="G300" s="16">
        <f>2700</f>
        <v>2700</v>
      </c>
      <c r="H300" s="12">
        <f t="shared" ref="H300:H302" si="88">F300*D300</f>
        <v>0</v>
      </c>
      <c r="I300" s="11">
        <f t="shared" ref="I300:I302" si="89">D300*G300</f>
        <v>5400</v>
      </c>
      <c r="J300" s="13">
        <f t="shared" ref="J300:J302" si="90">H300+I300</f>
        <v>5400</v>
      </c>
      <c r="K300" s="44"/>
      <c r="L300" s="43"/>
      <c r="M300" s="43"/>
      <c r="N300" s="43"/>
      <c r="O300" s="43"/>
      <c r="P300" s="2"/>
      <c r="Q300" s="2"/>
      <c r="R300" s="2"/>
      <c r="S300" s="2"/>
      <c r="T300" s="2"/>
      <c r="U300" s="2"/>
      <c r="V300" s="2"/>
    </row>
    <row r="301" spans="1:22" ht="11.25" customHeight="1" x14ac:dyDescent="0.3">
      <c r="A301" s="43"/>
      <c r="B301" s="7">
        <v>21.3</v>
      </c>
      <c r="C301" s="148" t="s">
        <v>224</v>
      </c>
      <c r="D301" s="16">
        <v>2</v>
      </c>
      <c r="E301" s="8" t="s">
        <v>8</v>
      </c>
      <c r="F301" s="12"/>
      <c r="G301" s="16">
        <f>4000+(15*55)</f>
        <v>4825</v>
      </c>
      <c r="H301" s="12">
        <f t="shared" si="88"/>
        <v>0</v>
      </c>
      <c r="I301" s="11">
        <f t="shared" si="89"/>
        <v>9650</v>
      </c>
      <c r="J301" s="13">
        <f t="shared" si="90"/>
        <v>9650</v>
      </c>
      <c r="K301" s="44"/>
      <c r="L301" s="43"/>
      <c r="M301" s="43"/>
      <c r="N301" s="43"/>
      <c r="O301" s="43"/>
      <c r="P301" s="2"/>
      <c r="Q301" s="2"/>
      <c r="R301" s="2"/>
      <c r="S301" s="2"/>
      <c r="T301" s="2"/>
      <c r="U301" s="2"/>
      <c r="V301" s="2"/>
    </row>
    <row r="302" spans="1:22" ht="11.25" customHeight="1" x14ac:dyDescent="0.3">
      <c r="A302" s="43"/>
      <c r="B302" s="7">
        <v>21.4</v>
      </c>
      <c r="C302" s="148" t="s">
        <v>225</v>
      </c>
      <c r="D302" s="16">
        <v>2</v>
      </c>
      <c r="E302" s="8" t="s">
        <v>8</v>
      </c>
      <c r="F302" s="12">
        <v>1500</v>
      </c>
      <c r="G302" s="12">
        <v>0</v>
      </c>
      <c r="H302" s="12">
        <f t="shared" si="88"/>
        <v>3000</v>
      </c>
      <c r="I302" s="11">
        <f t="shared" si="89"/>
        <v>0</v>
      </c>
      <c r="J302" s="13">
        <f t="shared" si="90"/>
        <v>3000</v>
      </c>
      <c r="K302" s="44"/>
      <c r="L302" s="43"/>
      <c r="M302" s="43"/>
      <c r="N302" s="43"/>
      <c r="O302" s="43"/>
      <c r="P302" s="2"/>
      <c r="Q302" s="2"/>
      <c r="R302" s="2"/>
      <c r="S302" s="2"/>
      <c r="T302" s="2"/>
      <c r="U302" s="2"/>
      <c r="V302" s="2"/>
    </row>
    <row r="303" spans="1:22" ht="11.25" customHeight="1" x14ac:dyDescent="0.3">
      <c r="A303" s="43"/>
      <c r="B303" s="45" t="s">
        <v>12</v>
      </c>
      <c r="C303" s="17">
        <f>SUM(J299:J302)</f>
        <v>53650</v>
      </c>
      <c r="D303" s="64"/>
      <c r="E303" s="63"/>
      <c r="F303" s="65"/>
      <c r="G303" s="1"/>
      <c r="H303" s="68"/>
      <c r="I303" s="65"/>
      <c r="J303" s="87"/>
      <c r="K303" s="44"/>
      <c r="L303" s="43"/>
      <c r="M303" s="43"/>
      <c r="N303" s="43"/>
      <c r="O303" s="43"/>
      <c r="P303" s="2"/>
      <c r="Q303" s="2"/>
      <c r="R303" s="2"/>
      <c r="S303" s="2"/>
      <c r="T303" s="2"/>
      <c r="U303" s="2"/>
      <c r="V303" s="2"/>
    </row>
    <row r="304" spans="1:22" ht="11.25" customHeight="1" x14ac:dyDescent="0.3">
      <c r="A304" s="43"/>
      <c r="B304" s="81" t="s">
        <v>13</v>
      </c>
      <c r="C304" s="88">
        <f>C303/E316</f>
        <v>0.1424085492908771</v>
      </c>
      <c r="D304" s="64"/>
      <c r="E304" s="63"/>
      <c r="F304" s="65"/>
      <c r="G304" s="65"/>
      <c r="H304" s="68"/>
      <c r="I304" s="65"/>
      <c r="J304" s="87"/>
      <c r="K304" s="44"/>
      <c r="L304" s="43"/>
      <c r="M304" s="43"/>
      <c r="N304" s="43"/>
      <c r="O304" s="43"/>
      <c r="P304" s="2"/>
      <c r="Q304" s="2"/>
      <c r="R304" s="2"/>
      <c r="S304" s="2"/>
      <c r="T304" s="2"/>
      <c r="U304" s="2"/>
      <c r="V304" s="2"/>
    </row>
    <row r="305" spans="1:22" ht="11.25" customHeight="1" x14ac:dyDescent="0.3">
      <c r="A305" s="131"/>
      <c r="B305" s="45"/>
      <c r="C305" s="46"/>
      <c r="D305" s="47"/>
      <c r="E305" s="158"/>
      <c r="F305" s="50"/>
      <c r="G305" s="50"/>
      <c r="H305" s="159"/>
      <c r="I305" s="50"/>
      <c r="J305" s="160"/>
      <c r="K305" s="161"/>
      <c r="L305" s="131"/>
      <c r="M305" s="131"/>
      <c r="N305" s="131"/>
      <c r="O305" s="131"/>
      <c r="P305" s="2"/>
      <c r="Q305" s="2"/>
      <c r="R305" s="2"/>
      <c r="S305" s="2"/>
      <c r="T305" s="2"/>
      <c r="U305" s="2"/>
      <c r="V305" s="2"/>
    </row>
    <row r="306" spans="1:22" ht="11.25" customHeight="1" x14ac:dyDescent="0.3">
      <c r="A306" s="43"/>
      <c r="B306" s="71">
        <v>22</v>
      </c>
      <c r="C306" s="73" t="s">
        <v>249</v>
      </c>
      <c r="D306" s="74" t="s">
        <v>0</v>
      </c>
      <c r="E306" s="72" t="s">
        <v>1</v>
      </c>
      <c r="F306" s="75" t="s">
        <v>2</v>
      </c>
      <c r="G306" s="75" t="s">
        <v>3</v>
      </c>
      <c r="H306" s="75" t="s">
        <v>2</v>
      </c>
      <c r="I306" s="75" t="s">
        <v>3</v>
      </c>
      <c r="J306" s="76" t="s">
        <v>4</v>
      </c>
      <c r="K306" s="44"/>
      <c r="L306" s="43"/>
      <c r="M306" s="43"/>
      <c r="N306" s="43"/>
      <c r="O306" s="43"/>
      <c r="P306" s="2"/>
      <c r="Q306" s="2"/>
      <c r="R306" s="2"/>
      <c r="S306" s="2"/>
      <c r="T306" s="2"/>
      <c r="U306" s="2"/>
      <c r="V306" s="2"/>
    </row>
    <row r="307" spans="1:22" ht="11.25" customHeight="1" x14ac:dyDescent="0.3">
      <c r="A307" s="43"/>
      <c r="B307" s="7">
        <v>22.1</v>
      </c>
      <c r="C307" s="148" t="s">
        <v>250</v>
      </c>
      <c r="D307" s="16">
        <v>0</v>
      </c>
      <c r="E307" s="8" t="s">
        <v>8</v>
      </c>
      <c r="F307" s="12">
        <v>2000</v>
      </c>
      <c r="G307" s="12">
        <v>0</v>
      </c>
      <c r="H307" s="12">
        <f>F307*D307</f>
        <v>0</v>
      </c>
      <c r="I307" s="11">
        <f>D307*G307</f>
        <v>0</v>
      </c>
      <c r="J307" s="13">
        <f>H307+I307</f>
        <v>0</v>
      </c>
      <c r="K307" s="44"/>
      <c r="L307" s="43"/>
      <c r="M307" s="43"/>
      <c r="N307" s="43"/>
      <c r="O307" s="43"/>
      <c r="P307" s="2"/>
      <c r="Q307" s="2"/>
      <c r="R307" s="2"/>
      <c r="S307" s="2"/>
      <c r="T307" s="2"/>
      <c r="U307" s="2"/>
      <c r="V307" s="2"/>
    </row>
    <row r="308" spans="1:22" ht="11.25" customHeight="1" x14ac:dyDescent="0.3">
      <c r="A308" s="43"/>
      <c r="B308" s="7">
        <v>22.2</v>
      </c>
      <c r="C308" s="148" t="s">
        <v>251</v>
      </c>
      <c r="D308" s="16">
        <v>1</v>
      </c>
      <c r="E308" s="8" t="s">
        <v>8</v>
      </c>
      <c r="F308" s="12">
        <v>2000</v>
      </c>
      <c r="G308" s="12">
        <v>0</v>
      </c>
      <c r="H308" s="12">
        <f>F308*D308</f>
        <v>2000</v>
      </c>
      <c r="I308" s="11">
        <f>D308*G308</f>
        <v>0</v>
      </c>
      <c r="J308" s="13">
        <f>H308+I308</f>
        <v>2000</v>
      </c>
      <c r="K308" s="44"/>
      <c r="L308" s="43"/>
      <c r="M308" s="43"/>
      <c r="N308" s="43"/>
      <c r="O308" s="43"/>
      <c r="P308" s="2"/>
      <c r="Q308" s="2"/>
      <c r="R308" s="2"/>
      <c r="S308" s="2"/>
      <c r="T308" s="2"/>
      <c r="U308" s="2"/>
      <c r="V308" s="2"/>
    </row>
    <row r="309" spans="1:22" ht="11.25" customHeight="1" x14ac:dyDescent="0.3">
      <c r="A309" s="43"/>
      <c r="B309" s="45" t="s">
        <v>12</v>
      </c>
      <c r="C309" s="17">
        <f>SUM(J307:J308)</f>
        <v>2000</v>
      </c>
      <c r="D309" s="64"/>
      <c r="E309" s="63"/>
      <c r="F309" s="65"/>
      <c r="G309" s="1"/>
      <c r="H309" s="68"/>
      <c r="I309" s="65"/>
      <c r="J309" s="87"/>
      <c r="K309" s="44"/>
      <c r="L309" s="43"/>
      <c r="M309" s="43"/>
      <c r="N309" s="43"/>
      <c r="O309" s="43"/>
      <c r="P309" s="2"/>
      <c r="Q309" s="2"/>
      <c r="R309" s="2"/>
      <c r="S309" s="2"/>
      <c r="T309" s="2"/>
      <c r="U309" s="2"/>
      <c r="V309" s="2"/>
    </row>
    <row r="310" spans="1:22" ht="11.25" customHeight="1" x14ac:dyDescent="0.3">
      <c r="A310" s="43"/>
      <c r="B310" s="81" t="s">
        <v>13</v>
      </c>
      <c r="C310" s="88">
        <f>C309/E316</f>
        <v>5.3087996007782703E-3</v>
      </c>
      <c r="D310" s="64"/>
      <c r="E310" s="63"/>
      <c r="F310" s="65"/>
      <c r="G310" s="65"/>
      <c r="H310" s="68"/>
      <c r="I310" s="65"/>
      <c r="J310" s="87"/>
      <c r="K310" s="44"/>
      <c r="L310" s="43"/>
      <c r="M310" s="43"/>
      <c r="N310" s="43"/>
      <c r="O310" s="43"/>
      <c r="P310" s="2"/>
      <c r="Q310" s="2"/>
      <c r="R310" s="2"/>
      <c r="S310" s="2"/>
      <c r="T310" s="2"/>
      <c r="U310" s="2"/>
      <c r="V310" s="2"/>
    </row>
    <row r="311" spans="1:22" ht="11.25" customHeight="1" thickBot="1" x14ac:dyDescent="0.35">
      <c r="A311" s="43"/>
      <c r="B311" s="104"/>
      <c r="C311" s="2"/>
      <c r="D311" s="69"/>
      <c r="E311" s="2"/>
      <c r="F311" s="69"/>
      <c r="G311" s="100"/>
      <c r="H311" s="69"/>
      <c r="I311" s="100"/>
      <c r="J311" s="101"/>
      <c r="K311" s="44"/>
      <c r="L311" s="43"/>
      <c r="M311" s="43"/>
      <c r="N311" s="43"/>
      <c r="O311" s="43"/>
      <c r="P311" s="2"/>
      <c r="Q311" s="2"/>
      <c r="R311" s="2"/>
      <c r="S311" s="2"/>
      <c r="T311" s="2"/>
      <c r="U311" s="2"/>
      <c r="V311" s="2"/>
    </row>
    <row r="312" spans="1:22" ht="11.25" customHeight="1" thickBot="1" x14ac:dyDescent="0.35">
      <c r="A312" s="43"/>
      <c r="B312" s="109">
        <v>23</v>
      </c>
      <c r="C312" s="110" t="s">
        <v>59</v>
      </c>
      <c r="D312" s="110"/>
      <c r="E312" s="110"/>
      <c r="F312" s="110"/>
      <c r="G312" s="110"/>
      <c r="H312" s="40">
        <f>SUM(H14:H308)</f>
        <v>243713</v>
      </c>
      <c r="I312" s="40">
        <f>SUM(I14:I308)</f>
        <v>116350</v>
      </c>
      <c r="J312" s="40">
        <f>SUM(J10:J309)</f>
        <v>376733</v>
      </c>
      <c r="K312" s="44"/>
      <c r="L312" s="43"/>
      <c r="M312" s="43"/>
      <c r="N312" s="43"/>
      <c r="O312" s="43"/>
      <c r="P312" s="2"/>
      <c r="Q312" s="2"/>
      <c r="R312" s="2"/>
      <c r="S312" s="2"/>
      <c r="T312" s="2"/>
      <c r="U312" s="2"/>
      <c r="V312" s="2"/>
    </row>
    <row r="313" spans="1:22" ht="11.25" customHeight="1" thickBot="1" x14ac:dyDescent="0.35">
      <c r="A313" s="43"/>
      <c r="B313" s="41">
        <v>24</v>
      </c>
      <c r="C313" s="110" t="s">
        <v>60</v>
      </c>
      <c r="D313" s="110"/>
      <c r="E313" s="110"/>
      <c r="F313" s="110"/>
      <c r="G313" s="110"/>
      <c r="H313" s="111"/>
      <c r="I313" s="111"/>
      <c r="J313" s="112"/>
      <c r="K313" s="44"/>
      <c r="L313" s="43"/>
      <c r="M313" s="43"/>
      <c r="N313" s="43"/>
      <c r="O313" s="43"/>
      <c r="P313" s="2"/>
      <c r="Q313" s="2"/>
      <c r="R313" s="2"/>
      <c r="S313" s="2"/>
      <c r="T313" s="2"/>
      <c r="U313" s="2"/>
      <c r="V313" s="2"/>
    </row>
    <row r="314" spans="1:22" ht="11.25" customHeight="1" thickBot="1" x14ac:dyDescent="0.35">
      <c r="A314" s="43"/>
      <c r="B314" s="26">
        <v>21.2</v>
      </c>
      <c r="C314" s="113" t="s">
        <v>61</v>
      </c>
      <c r="D314" s="27"/>
      <c r="E314" s="27"/>
      <c r="F314" s="28"/>
      <c r="G314" s="28"/>
      <c r="H314" s="29"/>
      <c r="I314" s="29"/>
      <c r="J314" s="30">
        <v>0</v>
      </c>
      <c r="K314" s="44"/>
      <c r="L314" s="43"/>
      <c r="M314" s="43"/>
      <c r="N314" s="43"/>
      <c r="O314" s="43"/>
      <c r="P314" s="2"/>
      <c r="Q314" s="2"/>
      <c r="R314" s="2"/>
      <c r="S314" s="2"/>
      <c r="T314" s="2"/>
      <c r="U314" s="2"/>
      <c r="V314" s="2"/>
    </row>
    <row r="315" spans="1:22" ht="11.25" customHeight="1" thickBot="1" x14ac:dyDescent="0.35">
      <c r="A315" s="43"/>
      <c r="B315" s="114"/>
      <c r="C315" s="115"/>
      <c r="D315" s="55"/>
      <c r="E315" s="83"/>
      <c r="F315" s="84"/>
      <c r="G315" s="14"/>
      <c r="H315" s="116"/>
      <c r="I315" s="116"/>
      <c r="J315" s="108"/>
      <c r="K315" s="44"/>
      <c r="L315" s="43"/>
      <c r="M315" s="43"/>
      <c r="N315" s="43"/>
      <c r="O315" s="43"/>
      <c r="P315" s="2"/>
      <c r="Q315" s="2"/>
      <c r="R315" s="2"/>
      <c r="S315" s="2"/>
      <c r="T315" s="2"/>
      <c r="U315" s="2"/>
      <c r="V315" s="2"/>
    </row>
    <row r="316" spans="1:22" ht="11.25" customHeight="1" thickBot="1" x14ac:dyDescent="0.35">
      <c r="A316" s="43"/>
      <c r="B316" s="117"/>
      <c r="C316" s="54"/>
      <c r="D316" s="42" t="s">
        <v>62</v>
      </c>
      <c r="E316" s="40">
        <f>J312+J314</f>
        <v>376733</v>
      </c>
      <c r="H316" s="2"/>
      <c r="I316" s="2"/>
      <c r="J316" s="108"/>
      <c r="K316" s="44"/>
      <c r="L316" s="43"/>
      <c r="M316" s="43"/>
      <c r="N316" s="43"/>
      <c r="O316" s="43"/>
      <c r="P316" s="2"/>
      <c r="Q316" s="2"/>
      <c r="R316" s="2"/>
      <c r="S316" s="2"/>
      <c r="T316" s="2"/>
      <c r="U316" s="2"/>
      <c r="V316" s="2"/>
    </row>
    <row r="317" spans="1:22" ht="11.25" customHeight="1" thickBot="1" x14ac:dyDescent="0.35">
      <c r="A317" s="43"/>
      <c r="B317" s="117"/>
      <c r="C317" s="54"/>
      <c r="D317" s="2"/>
      <c r="E317" s="31"/>
      <c r="H317" s="2"/>
      <c r="I317" s="2"/>
      <c r="J317" s="108"/>
      <c r="K317" s="44"/>
      <c r="L317" s="43"/>
      <c r="M317" s="43"/>
      <c r="N317" s="43"/>
      <c r="O317" s="43"/>
      <c r="P317" s="2"/>
      <c r="Q317" s="2"/>
      <c r="R317" s="2"/>
      <c r="S317" s="2"/>
      <c r="T317" s="2"/>
      <c r="U317" s="2"/>
      <c r="V317" s="2"/>
    </row>
    <row r="318" spans="1:22" ht="11.25" customHeight="1" thickBot="1" x14ac:dyDescent="0.35">
      <c r="A318" s="43"/>
      <c r="B318" s="117"/>
      <c r="C318" s="54"/>
      <c r="D318" s="32" t="s">
        <v>63</v>
      </c>
      <c r="E318" s="33">
        <f>E316/C8</f>
        <v>2181.4302258251305</v>
      </c>
      <c r="H318" s="2"/>
      <c r="I318" s="2"/>
      <c r="J318" s="66"/>
      <c r="K318" s="44"/>
      <c r="L318" s="43"/>
      <c r="M318" s="43"/>
      <c r="N318" s="43"/>
      <c r="O318" s="43"/>
      <c r="P318" s="2"/>
      <c r="Q318" s="2"/>
      <c r="R318" s="2"/>
      <c r="S318" s="2"/>
      <c r="T318" s="2"/>
      <c r="U318" s="2"/>
      <c r="V318" s="2"/>
    </row>
    <row r="319" spans="1:22" ht="11.25" customHeight="1" thickBot="1" x14ac:dyDescent="0.35">
      <c r="A319" s="69"/>
      <c r="B319" s="118"/>
      <c r="C319" s="35"/>
      <c r="D319" s="36"/>
      <c r="E319" s="34"/>
      <c r="F319" s="37"/>
      <c r="G319" s="119"/>
      <c r="H319" s="37"/>
      <c r="I319" s="35"/>
      <c r="J319" s="38"/>
      <c r="K319" s="69"/>
      <c r="L319" s="43"/>
      <c r="M319" s="43"/>
      <c r="N319" s="43"/>
      <c r="O319" s="43"/>
      <c r="P319" s="2"/>
      <c r="Q319" s="2"/>
      <c r="R319" s="2"/>
      <c r="S319" s="2"/>
      <c r="T319" s="2"/>
      <c r="U319" s="2"/>
      <c r="V319" s="2"/>
    </row>
    <row r="320" spans="1:22" ht="11.25" customHeight="1" x14ac:dyDescent="0.3">
      <c r="A320" s="69"/>
      <c r="B320" s="63"/>
      <c r="C320" s="52"/>
      <c r="D320" s="64"/>
      <c r="E320" s="63"/>
      <c r="F320" s="65"/>
      <c r="G320" s="1"/>
      <c r="H320" s="65"/>
      <c r="I320" s="52"/>
      <c r="J320" s="69"/>
      <c r="K320" s="69"/>
      <c r="L320" s="43"/>
      <c r="M320" s="43"/>
      <c r="N320" s="43"/>
      <c r="O320" s="43"/>
      <c r="P320" s="2"/>
      <c r="Q320" s="2"/>
      <c r="R320" s="2"/>
      <c r="S320" s="2"/>
      <c r="T320" s="2"/>
      <c r="U320" s="2"/>
      <c r="V320" s="2"/>
    </row>
    <row r="321" spans="1:22" ht="11.25" customHeight="1" x14ac:dyDescent="0.3">
      <c r="A321" s="69"/>
      <c r="B321" s="63"/>
      <c r="C321" s="52"/>
      <c r="D321" s="64"/>
      <c r="E321" s="63"/>
      <c r="F321" s="65"/>
      <c r="G321" s="1"/>
      <c r="H321" s="65"/>
      <c r="I321" s="52"/>
      <c r="J321" s="69"/>
      <c r="K321" s="69"/>
      <c r="L321" s="43"/>
      <c r="M321" s="43"/>
      <c r="N321" s="43"/>
      <c r="O321" s="43"/>
      <c r="P321" s="2"/>
      <c r="Q321" s="2"/>
      <c r="R321" s="2"/>
      <c r="S321" s="2"/>
      <c r="T321" s="2"/>
      <c r="U321" s="2"/>
      <c r="V321" s="2"/>
    </row>
    <row r="322" spans="1:22" ht="11.25" customHeight="1" x14ac:dyDescent="0.3">
      <c r="A322" s="69"/>
      <c r="B322" s="162"/>
      <c r="C322" s="69"/>
      <c r="D322" s="64"/>
      <c r="E322" s="63"/>
      <c r="F322" s="65"/>
      <c r="G322" s="1"/>
      <c r="H322" s="65"/>
      <c r="I322" s="52"/>
      <c r="J322" s="69"/>
      <c r="K322" s="69"/>
      <c r="L322" s="69"/>
      <c r="M322" s="69"/>
      <c r="N322" s="69"/>
      <c r="O322" s="69"/>
      <c r="P322" s="2"/>
      <c r="Q322" s="2"/>
      <c r="R322" s="2"/>
      <c r="S322" s="2"/>
      <c r="T322" s="2"/>
      <c r="U322" s="2"/>
      <c r="V322" s="2"/>
    </row>
    <row r="323" spans="1:22" ht="11.25" customHeight="1" x14ac:dyDescent="0.3">
      <c r="A323" s="69"/>
      <c r="B323" s="162"/>
      <c r="C323" s="69"/>
      <c r="D323" s="64"/>
      <c r="E323" s="63"/>
      <c r="F323" s="65"/>
      <c r="G323" s="2"/>
      <c r="H323" s="65"/>
      <c r="I323" s="52"/>
      <c r="J323" s="69"/>
      <c r="K323" s="69"/>
      <c r="L323" s="69"/>
      <c r="M323" s="69"/>
      <c r="N323" s="69"/>
      <c r="O323" s="69"/>
      <c r="P323" s="2"/>
      <c r="Q323" s="2"/>
      <c r="R323" s="2"/>
      <c r="S323" s="2"/>
      <c r="T323" s="2"/>
      <c r="U323" s="2"/>
      <c r="V323" s="2"/>
    </row>
    <row r="324" spans="1:22" ht="11.25" customHeight="1" x14ac:dyDescent="0.3">
      <c r="A324" s="69"/>
      <c r="B324" s="162"/>
      <c r="C324" s="69"/>
      <c r="D324" s="64"/>
      <c r="E324" s="63"/>
      <c r="F324" s="65"/>
      <c r="G324" s="1"/>
      <c r="H324" s="65"/>
      <c r="I324" s="52"/>
      <c r="J324" s="69"/>
      <c r="K324" s="69"/>
      <c r="L324" s="69"/>
      <c r="M324" s="69"/>
      <c r="N324" s="69"/>
      <c r="O324" s="69"/>
      <c r="P324" s="2"/>
      <c r="Q324" s="2"/>
      <c r="R324" s="2"/>
      <c r="S324" s="2"/>
      <c r="T324" s="2"/>
      <c r="U324" s="2"/>
      <c r="V324" s="2"/>
    </row>
    <row r="325" spans="1:22" ht="11.25" customHeight="1" x14ac:dyDescent="0.3">
      <c r="A325" s="69"/>
      <c r="B325" s="63"/>
      <c r="C325" s="52"/>
      <c r="D325" s="64"/>
      <c r="E325" s="63"/>
      <c r="F325" s="65"/>
      <c r="G325" s="1"/>
      <c r="H325" s="65"/>
      <c r="I325" s="52"/>
      <c r="J325" s="120"/>
      <c r="K325" s="69"/>
      <c r="L325" s="69"/>
      <c r="M325" s="69"/>
      <c r="N325" s="69"/>
      <c r="O325" s="69"/>
      <c r="P325" s="2"/>
      <c r="Q325" s="2"/>
      <c r="R325" s="2"/>
      <c r="S325" s="2"/>
      <c r="T325" s="2"/>
      <c r="U325" s="2"/>
      <c r="V325" s="2"/>
    </row>
    <row r="326" spans="1:22" ht="11.25" customHeight="1" x14ac:dyDescent="0.3">
      <c r="A326" s="69"/>
      <c r="B326" s="63"/>
      <c r="C326" s="52"/>
      <c r="D326" s="64"/>
      <c r="E326" s="63"/>
      <c r="F326" s="65"/>
      <c r="G326" s="1"/>
      <c r="H326" s="65"/>
      <c r="I326" s="52"/>
      <c r="J326" s="69"/>
      <c r="K326" s="69"/>
      <c r="L326" s="69"/>
      <c r="M326" s="69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1.25" customHeight="1" x14ac:dyDescent="0.3">
      <c r="A327" s="69"/>
      <c r="B327" s="63"/>
      <c r="C327" s="52"/>
      <c r="D327" s="64"/>
      <c r="E327" s="63"/>
      <c r="F327" s="65"/>
      <c r="G327" s="1"/>
      <c r="H327" s="65"/>
      <c r="I327" s="52"/>
      <c r="J327" s="69"/>
      <c r="K327" s="69"/>
      <c r="L327" s="69"/>
      <c r="M327" s="69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1.25" customHeight="1" x14ac:dyDescent="0.3">
      <c r="A328" s="69"/>
      <c r="B328" s="63"/>
      <c r="C328" s="52"/>
      <c r="D328" s="64"/>
      <c r="E328" s="63"/>
      <c r="F328" s="65"/>
      <c r="G328" s="1"/>
      <c r="H328" s="65"/>
      <c r="I328" s="52"/>
      <c r="J328" s="69"/>
      <c r="K328" s="69"/>
      <c r="L328" s="69"/>
      <c r="M328" s="69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1.25" customHeight="1" x14ac:dyDescent="0.3">
      <c r="A329" s="69"/>
      <c r="B329" s="63"/>
      <c r="C329" s="52"/>
      <c r="D329" s="64"/>
      <c r="E329" s="63"/>
      <c r="F329" s="65"/>
      <c r="G329" s="1"/>
      <c r="H329" s="65"/>
      <c r="I329" s="52"/>
      <c r="J329" s="69"/>
      <c r="K329" s="69"/>
      <c r="L329" s="69"/>
      <c r="M329" s="69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1.25" customHeight="1" x14ac:dyDescent="0.3">
      <c r="A330" s="69"/>
      <c r="B330" s="63"/>
      <c r="C330" s="52"/>
      <c r="D330" s="64"/>
      <c r="E330" s="63"/>
      <c r="F330" s="65"/>
      <c r="G330" s="1"/>
      <c r="H330" s="65"/>
      <c r="I330" s="52"/>
      <c r="J330" s="69"/>
      <c r="K330" s="69"/>
      <c r="L330" s="69"/>
      <c r="M330" s="69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1.25" customHeight="1" x14ac:dyDescent="0.3">
      <c r="A331" s="69"/>
      <c r="B331" s="63"/>
      <c r="C331" s="52"/>
      <c r="D331" s="64"/>
      <c r="E331" s="63"/>
      <c r="F331" s="65"/>
      <c r="G331" s="1"/>
      <c r="H331" s="65"/>
      <c r="I331" s="52"/>
      <c r="J331" s="69"/>
      <c r="K331" s="69"/>
      <c r="L331" s="69"/>
      <c r="M331" s="69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1.25" customHeight="1" x14ac:dyDescent="0.3">
      <c r="A332" s="69"/>
      <c r="B332" s="63"/>
      <c r="C332" s="52"/>
      <c r="D332" s="64"/>
      <c r="E332" s="63"/>
      <c r="F332" s="65"/>
      <c r="G332" s="1"/>
      <c r="H332" s="65"/>
      <c r="I332" s="52"/>
      <c r="J332" s="69"/>
      <c r="K332" s="69"/>
      <c r="L332" s="69"/>
      <c r="M332" s="69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1.25" customHeight="1" x14ac:dyDescent="0.3">
      <c r="A333" s="69"/>
      <c r="B333" s="63"/>
      <c r="C333" s="52"/>
      <c r="D333" s="64"/>
      <c r="E333" s="63"/>
      <c r="F333" s="65"/>
      <c r="G333" s="1"/>
      <c r="H333" s="65"/>
      <c r="I333" s="52"/>
      <c r="J333" s="69"/>
      <c r="K333" s="69"/>
      <c r="L333" s="69"/>
      <c r="M333" s="69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1.25" customHeight="1" x14ac:dyDescent="0.3">
      <c r="A334" s="69"/>
      <c r="B334" s="63"/>
      <c r="C334" s="52"/>
      <c r="D334" s="64"/>
      <c r="E334" s="63"/>
      <c r="F334" s="65"/>
      <c r="G334" s="1"/>
      <c r="H334" s="65"/>
      <c r="I334" s="52"/>
      <c r="J334" s="69"/>
      <c r="K334" s="69"/>
      <c r="L334" s="69"/>
      <c r="M334" s="69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1.25" customHeight="1" x14ac:dyDescent="0.3">
      <c r="A335" s="69"/>
      <c r="B335" s="63"/>
      <c r="C335" s="52"/>
      <c r="D335" s="64"/>
      <c r="E335" s="63"/>
      <c r="F335" s="65"/>
      <c r="G335" s="1"/>
      <c r="H335" s="65"/>
      <c r="I335" s="52"/>
      <c r="J335" s="69"/>
      <c r="K335" s="69"/>
      <c r="L335" s="69"/>
      <c r="M335" s="69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1.25" customHeight="1" x14ac:dyDescent="0.3">
      <c r="A336" s="69"/>
      <c r="B336" s="63"/>
      <c r="C336" s="52"/>
      <c r="D336" s="64"/>
      <c r="E336" s="63"/>
      <c r="F336" s="65"/>
      <c r="G336" s="1"/>
      <c r="H336" s="65"/>
      <c r="I336" s="52"/>
      <c r="J336" s="69"/>
      <c r="K336" s="69"/>
      <c r="L336" s="69"/>
      <c r="M336" s="69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1.25" customHeight="1" x14ac:dyDescent="0.3">
      <c r="A337" s="69"/>
      <c r="B337" s="63"/>
      <c r="C337" s="52"/>
      <c r="D337" s="64"/>
      <c r="E337" s="63"/>
      <c r="F337" s="65"/>
      <c r="G337" s="1"/>
      <c r="H337" s="65"/>
      <c r="I337" s="52"/>
      <c r="J337" s="69"/>
      <c r="K337" s="69"/>
      <c r="L337" s="69"/>
      <c r="M337" s="69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1.25" customHeight="1" x14ac:dyDescent="0.3">
      <c r="A338" s="69"/>
      <c r="B338" s="63"/>
      <c r="C338" s="52"/>
      <c r="D338" s="64"/>
      <c r="E338" s="63"/>
      <c r="F338" s="65"/>
      <c r="G338" s="1"/>
      <c r="H338" s="65"/>
      <c r="I338" s="52"/>
      <c r="J338" s="69"/>
      <c r="K338" s="69"/>
      <c r="L338" s="69"/>
      <c r="M338" s="69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1.25" customHeight="1" x14ac:dyDescent="0.3">
      <c r="A339" s="69"/>
      <c r="B339" s="63"/>
      <c r="C339" s="52"/>
      <c r="D339" s="64"/>
      <c r="E339" s="63"/>
      <c r="F339" s="65"/>
      <c r="G339" s="1"/>
      <c r="H339" s="65"/>
      <c r="I339" s="52"/>
      <c r="J339" s="69"/>
      <c r="K339" s="69"/>
      <c r="L339" s="69"/>
      <c r="M339" s="69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1.25" customHeight="1" x14ac:dyDescent="0.3">
      <c r="A340" s="69"/>
      <c r="B340" s="63"/>
      <c r="C340" s="52"/>
      <c r="D340" s="64"/>
      <c r="E340" s="63"/>
      <c r="F340" s="65"/>
      <c r="G340" s="1"/>
      <c r="H340" s="65"/>
      <c r="I340" s="52"/>
      <c r="J340" s="69"/>
      <c r="K340" s="69"/>
      <c r="L340" s="69"/>
      <c r="M340" s="69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1.25" customHeight="1" x14ac:dyDescent="0.3">
      <c r="A341" s="69"/>
      <c r="B341" s="63"/>
      <c r="C341" s="52"/>
      <c r="D341" s="64"/>
      <c r="E341" s="63"/>
      <c r="F341" s="65"/>
      <c r="G341" s="1"/>
      <c r="H341" s="65"/>
      <c r="I341" s="52"/>
      <c r="J341" s="69"/>
      <c r="K341" s="69"/>
      <c r="L341" s="69"/>
      <c r="M341" s="69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1.25" customHeight="1" x14ac:dyDescent="0.3">
      <c r="A342" s="69"/>
      <c r="B342" s="63"/>
      <c r="C342" s="52"/>
      <c r="D342" s="64"/>
      <c r="E342" s="63"/>
      <c r="F342" s="65"/>
      <c r="G342" s="1"/>
      <c r="H342" s="65"/>
      <c r="I342" s="52"/>
      <c r="J342" s="69"/>
      <c r="K342" s="69"/>
      <c r="L342" s="69"/>
      <c r="M342" s="69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1.25" customHeight="1" x14ac:dyDescent="0.3">
      <c r="A343" s="69"/>
      <c r="B343" s="63"/>
      <c r="C343" s="52"/>
      <c r="D343" s="64"/>
      <c r="E343" s="63"/>
      <c r="F343" s="65"/>
      <c r="G343" s="1"/>
      <c r="H343" s="65"/>
      <c r="I343" s="52"/>
      <c r="J343" s="69"/>
      <c r="K343" s="69"/>
      <c r="L343" s="69"/>
      <c r="M343" s="69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1.25" customHeight="1" x14ac:dyDescent="0.3">
      <c r="A344" s="69"/>
      <c r="B344" s="63"/>
      <c r="C344" s="52"/>
      <c r="D344" s="64"/>
      <c r="E344" s="63"/>
      <c r="F344" s="65"/>
      <c r="G344" s="1"/>
      <c r="H344" s="65"/>
      <c r="I344" s="52"/>
      <c r="J344" s="69"/>
      <c r="K344" s="69"/>
      <c r="L344" s="69"/>
      <c r="M344" s="69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1.25" customHeight="1" x14ac:dyDescent="0.3">
      <c r="A345" s="69"/>
      <c r="B345" s="63"/>
      <c r="C345" s="52"/>
      <c r="D345" s="64"/>
      <c r="E345" s="63"/>
      <c r="F345" s="65"/>
      <c r="G345" s="1"/>
      <c r="H345" s="65"/>
      <c r="I345" s="52"/>
      <c r="J345" s="69"/>
      <c r="K345" s="69"/>
      <c r="L345" s="69"/>
      <c r="M345" s="69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1.25" customHeight="1" x14ac:dyDescent="0.3">
      <c r="A346" s="69"/>
      <c r="B346" s="63"/>
      <c r="C346" s="52"/>
      <c r="D346" s="64"/>
      <c r="E346" s="63"/>
      <c r="F346" s="65"/>
      <c r="G346" s="1"/>
      <c r="H346" s="65"/>
      <c r="I346" s="52"/>
      <c r="J346" s="69"/>
      <c r="K346" s="69"/>
      <c r="L346" s="69"/>
      <c r="M346" s="69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1.25" customHeight="1" x14ac:dyDescent="0.3">
      <c r="A347" s="69"/>
      <c r="B347" s="63"/>
      <c r="C347" s="52"/>
      <c r="D347" s="64"/>
      <c r="E347" s="63"/>
      <c r="F347" s="65"/>
      <c r="G347" s="1"/>
      <c r="H347" s="65"/>
      <c r="I347" s="52"/>
      <c r="J347" s="69"/>
      <c r="K347" s="69"/>
      <c r="L347" s="69"/>
      <c r="M347" s="69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1.25" customHeight="1" x14ac:dyDescent="0.3">
      <c r="A348" s="2"/>
      <c r="B348" s="19"/>
      <c r="C348" s="18"/>
      <c r="D348" s="20"/>
      <c r="E348" s="19"/>
      <c r="F348" s="1"/>
      <c r="G348" s="65"/>
      <c r="H348" s="1"/>
      <c r="I348" s="1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1.25" customHeight="1" x14ac:dyDescent="0.3">
      <c r="A349" s="2"/>
      <c r="B349" s="19"/>
      <c r="C349" s="18"/>
      <c r="D349" s="20"/>
      <c r="E349" s="19"/>
      <c r="F349" s="1"/>
      <c r="G349" s="65"/>
      <c r="H349" s="1"/>
      <c r="I349" s="1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1.25" customHeight="1" x14ac:dyDescent="0.3">
      <c r="A350" s="2"/>
      <c r="B350" s="19"/>
      <c r="C350" s="18"/>
      <c r="D350" s="20"/>
      <c r="E350" s="19"/>
      <c r="F350" s="1"/>
      <c r="G350" s="65"/>
      <c r="H350" s="1"/>
      <c r="I350" s="1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1.25" customHeight="1" x14ac:dyDescent="0.3">
      <c r="A351" s="2"/>
      <c r="B351" s="19"/>
      <c r="C351" s="18"/>
      <c r="D351" s="20"/>
      <c r="E351" s="19"/>
      <c r="F351" s="1"/>
      <c r="G351" s="65"/>
      <c r="H351" s="1"/>
      <c r="I351" s="1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1.25" customHeight="1" x14ac:dyDescent="0.3">
      <c r="A352" s="2"/>
      <c r="B352" s="19"/>
      <c r="C352" s="18"/>
      <c r="D352" s="20"/>
      <c r="E352" s="19"/>
      <c r="F352" s="1"/>
      <c r="G352" s="65"/>
      <c r="H352" s="1"/>
      <c r="I352" s="1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1.25" customHeight="1" x14ac:dyDescent="0.3">
      <c r="A353" s="2"/>
      <c r="B353" s="19"/>
      <c r="C353" s="18"/>
      <c r="D353" s="20"/>
      <c r="E353" s="19"/>
      <c r="F353" s="1"/>
      <c r="G353" s="65"/>
      <c r="H353" s="1"/>
      <c r="I353" s="1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1.25" customHeight="1" x14ac:dyDescent="0.3">
      <c r="A354" s="2"/>
      <c r="B354" s="19"/>
      <c r="C354" s="18"/>
      <c r="D354" s="20"/>
      <c r="E354" s="19"/>
      <c r="F354" s="1"/>
      <c r="G354" s="65"/>
      <c r="H354" s="1"/>
      <c r="I354" s="1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1.25" customHeight="1" x14ac:dyDescent="0.3">
      <c r="A355" s="2"/>
      <c r="B355" s="19"/>
      <c r="C355" s="18"/>
      <c r="D355" s="20"/>
      <c r="E355" s="19"/>
      <c r="F355" s="1"/>
      <c r="G355" s="65"/>
      <c r="H355" s="1"/>
      <c r="I355" s="1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1.25" customHeight="1" x14ac:dyDescent="0.3">
      <c r="A356" s="2"/>
      <c r="B356" s="19"/>
      <c r="C356" s="18"/>
      <c r="D356" s="20"/>
      <c r="E356" s="19"/>
      <c r="F356" s="1"/>
      <c r="G356" s="65"/>
      <c r="H356" s="1"/>
      <c r="I356" s="1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1.25" customHeight="1" x14ac:dyDescent="0.3">
      <c r="A357" s="2"/>
      <c r="B357" s="19"/>
      <c r="C357" s="18"/>
      <c r="D357" s="20"/>
      <c r="E357" s="19"/>
      <c r="F357" s="1"/>
      <c r="G357" s="65"/>
      <c r="H357" s="1"/>
      <c r="I357" s="1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1.25" customHeight="1" x14ac:dyDescent="0.3">
      <c r="A358" s="2"/>
      <c r="B358" s="163"/>
      <c r="C358" s="2"/>
      <c r="D358" s="2"/>
      <c r="E358" s="2"/>
      <c r="F358" s="2"/>
      <c r="G358" s="6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1.25" customHeight="1" x14ac:dyDescent="0.3">
      <c r="A359" s="2"/>
      <c r="B359" s="163"/>
      <c r="C359" s="2"/>
      <c r="D359" s="2"/>
      <c r="E359" s="2"/>
      <c r="F359" s="2"/>
      <c r="G359" s="6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1.25" customHeight="1" x14ac:dyDescent="0.3">
      <c r="A360" s="2"/>
      <c r="B360" s="163"/>
      <c r="C360" s="2"/>
      <c r="D360" s="2"/>
      <c r="E360" s="2"/>
      <c r="F360" s="2"/>
      <c r="G360" s="6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1.25" customHeight="1" x14ac:dyDescent="0.3">
      <c r="A361" s="2"/>
      <c r="B361" s="163"/>
      <c r="C361" s="2"/>
      <c r="D361" s="2"/>
      <c r="E361" s="2"/>
      <c r="F361" s="2"/>
      <c r="G361" s="6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1.25" customHeight="1" x14ac:dyDescent="0.3">
      <c r="A362" s="2"/>
      <c r="B362" s="163"/>
      <c r="C362" s="2"/>
      <c r="D362" s="2"/>
      <c r="E362" s="2"/>
      <c r="F362" s="2"/>
      <c r="G362" s="6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1.25" customHeight="1" x14ac:dyDescent="0.3">
      <c r="A363" s="2"/>
      <c r="B363" s="163"/>
      <c r="C363" s="2"/>
      <c r="D363" s="2"/>
      <c r="E363" s="2"/>
      <c r="F363" s="2"/>
      <c r="G363" s="6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1.25" customHeight="1" x14ac:dyDescent="0.3">
      <c r="A364" s="2"/>
      <c r="B364" s="163"/>
      <c r="C364" s="2"/>
      <c r="D364" s="2"/>
      <c r="E364" s="2"/>
      <c r="F364" s="2"/>
      <c r="G364" s="6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1.25" customHeight="1" x14ac:dyDescent="0.3">
      <c r="A365" s="2"/>
      <c r="B365" s="163"/>
      <c r="C365" s="2"/>
      <c r="D365" s="2"/>
      <c r="E365" s="2"/>
      <c r="F365" s="2"/>
      <c r="G365" s="6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1.25" customHeight="1" x14ac:dyDescent="0.3">
      <c r="A366" s="2"/>
      <c r="B366" s="163"/>
      <c r="C366" s="2"/>
      <c r="D366" s="2"/>
      <c r="E366" s="2"/>
      <c r="F366" s="2"/>
      <c r="G366" s="6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1.25" customHeight="1" x14ac:dyDescent="0.3">
      <c r="A367" s="2"/>
      <c r="B367" s="163"/>
      <c r="C367" s="2"/>
      <c r="D367" s="2"/>
      <c r="E367" s="2"/>
      <c r="F367" s="2"/>
      <c r="G367" s="6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1.25" customHeight="1" x14ac:dyDescent="0.3">
      <c r="A368" s="2"/>
      <c r="B368" s="163"/>
      <c r="C368" s="2"/>
      <c r="D368" s="2"/>
      <c r="E368" s="2"/>
      <c r="F368" s="2"/>
      <c r="G368" s="6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1.25" customHeight="1" x14ac:dyDescent="0.3">
      <c r="A369" s="2"/>
      <c r="B369" s="163"/>
      <c r="C369" s="2"/>
      <c r="D369" s="2"/>
      <c r="E369" s="2"/>
      <c r="F369" s="2"/>
      <c r="G369" s="6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1.25" customHeight="1" x14ac:dyDescent="0.3">
      <c r="A370" s="2"/>
      <c r="B370" s="163"/>
      <c r="C370" s="2"/>
      <c r="D370" s="2"/>
      <c r="E370" s="2"/>
      <c r="F370" s="2"/>
      <c r="G370" s="6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1.25" customHeight="1" x14ac:dyDescent="0.3">
      <c r="A371" s="2"/>
      <c r="B371" s="163"/>
      <c r="C371" s="2"/>
      <c r="D371" s="2"/>
      <c r="E371" s="2"/>
      <c r="F371" s="2"/>
      <c r="G371" s="6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1.25" customHeight="1" x14ac:dyDescent="0.3">
      <c r="A372" s="2"/>
      <c r="B372" s="163"/>
      <c r="C372" s="2"/>
      <c r="D372" s="2"/>
      <c r="E372" s="2"/>
      <c r="F372" s="2"/>
      <c r="G372" s="6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1.25" customHeight="1" x14ac:dyDescent="0.3">
      <c r="A373" s="2"/>
      <c r="B373" s="163"/>
      <c r="C373" s="2"/>
      <c r="D373" s="2"/>
      <c r="E373" s="2"/>
      <c r="F373" s="2"/>
      <c r="G373" s="6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1.25" customHeight="1" x14ac:dyDescent="0.3">
      <c r="A374" s="2"/>
      <c r="B374" s="163"/>
      <c r="C374" s="2"/>
      <c r="D374" s="2"/>
      <c r="E374" s="2"/>
      <c r="F374" s="2"/>
      <c r="G374" s="6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1.25" customHeight="1" x14ac:dyDescent="0.3">
      <c r="A375" s="2"/>
      <c r="B375" s="163"/>
      <c r="C375" s="2"/>
      <c r="D375" s="2"/>
      <c r="E375" s="2"/>
      <c r="F375" s="2"/>
      <c r="G375" s="6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1.25" customHeight="1" x14ac:dyDescent="0.3">
      <c r="A376" s="2"/>
      <c r="B376" s="163"/>
      <c r="C376" s="2"/>
      <c r="D376" s="2"/>
      <c r="E376" s="2"/>
      <c r="F376" s="2"/>
      <c r="G376" s="6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1.25" customHeight="1" x14ac:dyDescent="0.3">
      <c r="A377" s="2"/>
      <c r="B377" s="163"/>
      <c r="C377" s="2"/>
      <c r="D377" s="2"/>
      <c r="E377" s="2"/>
      <c r="F377" s="2"/>
      <c r="G377" s="6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1.25" customHeight="1" x14ac:dyDescent="0.3">
      <c r="A378" s="2"/>
      <c r="B378" s="163"/>
      <c r="C378" s="2"/>
      <c r="D378" s="2"/>
      <c r="E378" s="2"/>
      <c r="F378" s="2"/>
      <c r="G378" s="6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1.25" customHeight="1" x14ac:dyDescent="0.3">
      <c r="A379" s="2"/>
      <c r="B379" s="163"/>
      <c r="C379" s="2"/>
      <c r="D379" s="2"/>
      <c r="E379" s="2"/>
      <c r="F379" s="2"/>
      <c r="G379" s="6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1.25" customHeight="1" x14ac:dyDescent="0.3">
      <c r="A380" s="2"/>
      <c r="B380" s="163"/>
      <c r="C380" s="2"/>
      <c r="D380" s="2"/>
      <c r="E380" s="2"/>
      <c r="F380" s="2"/>
      <c r="G380" s="6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1.25" customHeight="1" x14ac:dyDescent="0.3">
      <c r="A381" s="2"/>
      <c r="B381" s="163"/>
      <c r="C381" s="2"/>
      <c r="D381" s="2"/>
      <c r="E381" s="2"/>
      <c r="F381" s="2"/>
      <c r="G381" s="6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1.25" customHeight="1" x14ac:dyDescent="0.3">
      <c r="A382" s="2"/>
      <c r="B382" s="163"/>
      <c r="C382" s="2"/>
      <c r="D382" s="2"/>
      <c r="E382" s="2"/>
      <c r="F382" s="2"/>
      <c r="G382" s="6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1.25" customHeight="1" x14ac:dyDescent="0.3">
      <c r="A383" s="2"/>
      <c r="B383" s="163"/>
      <c r="C383" s="2"/>
      <c r="D383" s="2"/>
      <c r="E383" s="2"/>
      <c r="F383" s="2"/>
      <c r="G383" s="6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1.25" customHeight="1" x14ac:dyDescent="0.3">
      <c r="A384" s="2"/>
      <c r="B384" s="163"/>
      <c r="C384" s="2"/>
      <c r="D384" s="2"/>
      <c r="E384" s="2"/>
      <c r="F384" s="2"/>
      <c r="G384" s="6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1.25" customHeight="1" x14ac:dyDescent="0.3">
      <c r="A385" s="2"/>
      <c r="B385" s="163"/>
      <c r="C385" s="2"/>
      <c r="D385" s="2"/>
      <c r="E385" s="2"/>
      <c r="F385" s="2"/>
      <c r="G385" s="6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1.25" customHeight="1" x14ac:dyDescent="0.3">
      <c r="A386" s="2"/>
      <c r="B386" s="163"/>
      <c r="C386" s="2"/>
      <c r="D386" s="2"/>
      <c r="E386" s="2"/>
      <c r="F386" s="2"/>
      <c r="G386" s="6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1.25" customHeight="1" x14ac:dyDescent="0.3">
      <c r="A387" s="2"/>
      <c r="B387" s="163"/>
      <c r="C387" s="2"/>
      <c r="D387" s="2"/>
      <c r="E387" s="2"/>
      <c r="F387" s="2"/>
      <c r="G387" s="6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1.25" customHeight="1" x14ac:dyDescent="0.3">
      <c r="A388" s="2"/>
      <c r="B388" s="163"/>
      <c r="C388" s="2"/>
      <c r="D388" s="2"/>
      <c r="E388" s="2"/>
      <c r="F388" s="2"/>
      <c r="G388" s="6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1.25" customHeight="1" x14ac:dyDescent="0.3">
      <c r="A389" s="2"/>
      <c r="B389" s="163"/>
      <c r="C389" s="2"/>
      <c r="D389" s="2"/>
      <c r="E389" s="2"/>
      <c r="F389" s="2"/>
      <c r="G389" s="6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1.25" customHeight="1" x14ac:dyDescent="0.3">
      <c r="A390" s="2"/>
      <c r="B390" s="163"/>
      <c r="C390" s="2"/>
      <c r="D390" s="2"/>
      <c r="E390" s="2"/>
      <c r="F390" s="2"/>
      <c r="G390" s="6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1.25" customHeight="1" x14ac:dyDescent="0.3">
      <c r="A391" s="2"/>
      <c r="B391" s="163"/>
      <c r="C391" s="2"/>
      <c r="D391" s="2"/>
      <c r="E391" s="2"/>
      <c r="F391" s="2"/>
      <c r="G391" s="6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1.25" customHeight="1" x14ac:dyDescent="0.3">
      <c r="A392" s="2"/>
      <c r="B392" s="163"/>
      <c r="C392" s="2"/>
      <c r="D392" s="2"/>
      <c r="E392" s="2"/>
      <c r="F392" s="2"/>
      <c r="G392" s="6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1.25" customHeight="1" x14ac:dyDescent="0.3">
      <c r="A393" s="2"/>
      <c r="B393" s="163"/>
      <c r="C393" s="2"/>
      <c r="D393" s="2"/>
      <c r="E393" s="2"/>
      <c r="F393" s="2"/>
      <c r="G393" s="6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1.25" customHeight="1" x14ac:dyDescent="0.3">
      <c r="A394" s="2"/>
      <c r="B394" s="163"/>
      <c r="C394" s="2"/>
      <c r="D394" s="2"/>
      <c r="E394" s="2"/>
      <c r="F394" s="2"/>
      <c r="G394" s="6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1.25" customHeight="1" x14ac:dyDescent="0.3">
      <c r="A395" s="2"/>
      <c r="B395" s="163"/>
      <c r="C395" s="2"/>
      <c r="D395" s="2"/>
      <c r="E395" s="2"/>
      <c r="F395" s="2"/>
      <c r="G395" s="6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1.25" customHeight="1" x14ac:dyDescent="0.3">
      <c r="A396" s="2"/>
      <c r="B396" s="163"/>
      <c r="C396" s="2"/>
      <c r="D396" s="2"/>
      <c r="E396" s="2"/>
      <c r="F396" s="2"/>
      <c r="G396" s="6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1.25" customHeight="1" x14ac:dyDescent="0.3">
      <c r="A397" s="2"/>
      <c r="B397" s="163"/>
      <c r="C397" s="2"/>
      <c r="D397" s="2"/>
      <c r="E397" s="2"/>
      <c r="F397" s="2"/>
      <c r="G397" s="6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1.25" customHeight="1" x14ac:dyDescent="0.3">
      <c r="A398" s="2"/>
      <c r="B398" s="163"/>
      <c r="C398" s="2"/>
      <c r="D398" s="2"/>
      <c r="E398" s="2"/>
      <c r="F398" s="2"/>
      <c r="G398" s="6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1.25" customHeight="1" x14ac:dyDescent="0.3">
      <c r="A399" s="2"/>
      <c r="B399" s="163"/>
      <c r="C399" s="2"/>
      <c r="D399" s="2"/>
      <c r="E399" s="2"/>
      <c r="F399" s="2"/>
      <c r="G399" s="6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1.25" customHeight="1" x14ac:dyDescent="0.3">
      <c r="A400" s="2"/>
      <c r="B400" s="163"/>
      <c r="C400" s="2"/>
      <c r="D400" s="2"/>
      <c r="E400" s="2"/>
      <c r="F400" s="2"/>
      <c r="G400" s="6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1.25" customHeight="1" x14ac:dyDescent="0.3">
      <c r="A401" s="2"/>
      <c r="B401" s="163"/>
      <c r="C401" s="2"/>
      <c r="D401" s="2"/>
      <c r="E401" s="2"/>
      <c r="F401" s="2"/>
      <c r="G401" s="6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1.25" customHeight="1" x14ac:dyDescent="0.3">
      <c r="A402" s="2"/>
      <c r="B402" s="163"/>
      <c r="C402" s="2"/>
      <c r="D402" s="2"/>
      <c r="E402" s="2"/>
      <c r="F402" s="2"/>
      <c r="G402" s="6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1.25" customHeight="1" x14ac:dyDescent="0.3">
      <c r="A403" s="2"/>
      <c r="B403" s="163"/>
      <c r="C403" s="2"/>
      <c r="D403" s="2"/>
      <c r="E403" s="2"/>
      <c r="F403" s="2"/>
      <c r="G403" s="6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1.25" customHeight="1" x14ac:dyDescent="0.3">
      <c r="A404" s="2"/>
      <c r="B404" s="163"/>
      <c r="C404" s="2"/>
      <c r="D404" s="2"/>
      <c r="E404" s="2"/>
      <c r="F404" s="2"/>
      <c r="G404" s="6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1.25" customHeight="1" x14ac:dyDescent="0.3">
      <c r="A405" s="2"/>
      <c r="B405" s="163"/>
      <c r="C405" s="2"/>
      <c r="D405" s="2"/>
      <c r="E405" s="2"/>
      <c r="F405" s="2"/>
      <c r="G405" s="6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1.25" customHeight="1" x14ac:dyDescent="0.3">
      <c r="A406" s="2"/>
      <c r="B406" s="163"/>
      <c r="C406" s="2"/>
      <c r="D406" s="2"/>
      <c r="E406" s="2"/>
      <c r="F406" s="2"/>
      <c r="G406" s="6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1.25" customHeight="1" x14ac:dyDescent="0.3">
      <c r="A407" s="2"/>
      <c r="B407" s="163"/>
      <c r="C407" s="2"/>
      <c r="D407" s="2"/>
      <c r="E407" s="2"/>
      <c r="F407" s="2"/>
      <c r="G407" s="6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1.25" customHeight="1" x14ac:dyDescent="0.3">
      <c r="A408" s="2"/>
      <c r="B408" s="163"/>
      <c r="C408" s="2"/>
      <c r="D408" s="2"/>
      <c r="E408" s="2"/>
      <c r="F408" s="2"/>
      <c r="G408" s="6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1.25" customHeight="1" x14ac:dyDescent="0.3">
      <c r="A409" s="2"/>
      <c r="B409" s="163"/>
      <c r="C409" s="2"/>
      <c r="D409" s="2"/>
      <c r="E409" s="2"/>
      <c r="F409" s="2"/>
      <c r="G409" s="6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1.25" customHeight="1" x14ac:dyDescent="0.3">
      <c r="A410" s="2"/>
      <c r="B410" s="163"/>
      <c r="C410" s="2"/>
      <c r="D410" s="2"/>
      <c r="E410" s="2"/>
      <c r="F410" s="2"/>
      <c r="G410" s="6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1.25" customHeight="1" x14ac:dyDescent="0.3">
      <c r="A411" s="2"/>
      <c r="B411" s="163"/>
      <c r="C411" s="2"/>
      <c r="D411" s="2"/>
      <c r="E411" s="2"/>
      <c r="F411" s="2"/>
      <c r="G411" s="6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1.25" customHeight="1" x14ac:dyDescent="0.3">
      <c r="A412" s="2"/>
      <c r="B412" s="163"/>
      <c r="C412" s="2"/>
      <c r="D412" s="2"/>
      <c r="E412" s="2"/>
      <c r="F412" s="2"/>
      <c r="G412" s="6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1.25" customHeight="1" x14ac:dyDescent="0.3">
      <c r="A413" s="2"/>
      <c r="B413" s="163"/>
      <c r="C413" s="2"/>
      <c r="D413" s="2"/>
      <c r="E413" s="2"/>
      <c r="F413" s="2"/>
      <c r="G413" s="6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1.25" customHeight="1" x14ac:dyDescent="0.3">
      <c r="A414" s="2"/>
      <c r="B414" s="163"/>
      <c r="C414" s="2"/>
      <c r="D414" s="2"/>
      <c r="E414" s="2"/>
      <c r="F414" s="2"/>
      <c r="G414" s="6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1.25" customHeight="1" x14ac:dyDescent="0.3">
      <c r="A415" s="2"/>
      <c r="B415" s="163"/>
      <c r="C415" s="2"/>
      <c r="D415" s="2"/>
      <c r="E415" s="2"/>
      <c r="F415" s="2"/>
      <c r="G415" s="6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1.25" customHeight="1" x14ac:dyDescent="0.3">
      <c r="A416" s="2"/>
      <c r="B416" s="163"/>
      <c r="C416" s="2"/>
      <c r="D416" s="2"/>
      <c r="E416" s="2"/>
      <c r="F416" s="2"/>
      <c r="G416" s="6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1.25" customHeight="1" x14ac:dyDescent="0.3">
      <c r="A417" s="2"/>
      <c r="B417" s="163"/>
      <c r="C417" s="2"/>
      <c r="D417" s="2"/>
      <c r="E417" s="2"/>
      <c r="F417" s="2"/>
      <c r="G417" s="6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1.25" customHeight="1" x14ac:dyDescent="0.3">
      <c r="A418" s="2"/>
      <c r="B418" s="163"/>
      <c r="C418" s="2"/>
      <c r="D418" s="2"/>
      <c r="E418" s="2"/>
      <c r="F418" s="2"/>
      <c r="G418" s="6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1.25" customHeight="1" x14ac:dyDescent="0.3">
      <c r="A419" s="2"/>
      <c r="B419" s="163"/>
      <c r="C419" s="2"/>
      <c r="D419" s="2"/>
      <c r="E419" s="2"/>
      <c r="F419" s="2"/>
      <c r="G419" s="6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1.25" customHeight="1" x14ac:dyDescent="0.3">
      <c r="A420" s="2"/>
      <c r="B420" s="163"/>
      <c r="C420" s="2"/>
      <c r="D420" s="2"/>
      <c r="E420" s="2"/>
      <c r="F420" s="2"/>
      <c r="G420" s="6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1.25" customHeight="1" x14ac:dyDescent="0.3">
      <c r="A421" s="2"/>
      <c r="B421" s="163"/>
      <c r="C421" s="2"/>
      <c r="D421" s="2"/>
      <c r="E421" s="2"/>
      <c r="F421" s="2"/>
      <c r="G421" s="6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1.25" customHeight="1" x14ac:dyDescent="0.3">
      <c r="A422" s="2"/>
      <c r="B422" s="163"/>
      <c r="C422" s="2"/>
      <c r="D422" s="2"/>
      <c r="E422" s="2"/>
      <c r="F422" s="2"/>
      <c r="G422" s="6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1.25" customHeight="1" x14ac:dyDescent="0.3">
      <c r="A423" s="2"/>
      <c r="B423" s="163"/>
      <c r="C423" s="2"/>
      <c r="D423" s="2"/>
      <c r="E423" s="2"/>
      <c r="F423" s="2"/>
      <c r="G423" s="6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1.25" customHeight="1" x14ac:dyDescent="0.3">
      <c r="A424" s="2"/>
      <c r="B424" s="163"/>
      <c r="C424" s="2"/>
      <c r="D424" s="2"/>
      <c r="E424" s="2"/>
      <c r="F424" s="2"/>
      <c r="G424" s="6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1.25" customHeight="1" x14ac:dyDescent="0.3">
      <c r="A425" s="2"/>
      <c r="B425" s="163"/>
      <c r="C425" s="2"/>
      <c r="D425" s="2"/>
      <c r="E425" s="2"/>
      <c r="F425" s="2"/>
      <c r="G425" s="6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1.25" customHeight="1" x14ac:dyDescent="0.3">
      <c r="A426" s="2"/>
      <c r="B426" s="163"/>
      <c r="C426" s="2"/>
      <c r="D426" s="2"/>
      <c r="E426" s="2"/>
      <c r="F426" s="2"/>
      <c r="G426" s="6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1.25" customHeight="1" x14ac:dyDescent="0.3">
      <c r="A427" s="2"/>
      <c r="B427" s="163"/>
      <c r="C427" s="2"/>
      <c r="D427" s="2"/>
      <c r="E427" s="2"/>
      <c r="F427" s="2"/>
      <c r="G427" s="6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1.25" customHeight="1" x14ac:dyDescent="0.3">
      <c r="A428" s="2"/>
      <c r="B428" s="163"/>
      <c r="C428" s="2"/>
      <c r="D428" s="2"/>
      <c r="E428" s="2"/>
      <c r="F428" s="2"/>
      <c r="G428" s="6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1.25" customHeight="1" x14ac:dyDescent="0.3">
      <c r="A429" s="2"/>
      <c r="B429" s="163"/>
      <c r="C429" s="2"/>
      <c r="D429" s="2"/>
      <c r="E429" s="2"/>
      <c r="F429" s="2"/>
      <c r="G429" s="6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1.25" customHeight="1" x14ac:dyDescent="0.3">
      <c r="A430" s="2"/>
      <c r="B430" s="163"/>
      <c r="C430" s="2"/>
      <c r="D430" s="2"/>
      <c r="E430" s="2"/>
      <c r="F430" s="2"/>
      <c r="G430" s="6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1.25" customHeight="1" x14ac:dyDescent="0.3">
      <c r="A431" s="2"/>
      <c r="B431" s="163"/>
      <c r="C431" s="2"/>
      <c r="D431" s="2"/>
      <c r="E431" s="2"/>
      <c r="F431" s="2"/>
      <c r="G431" s="6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1.25" customHeight="1" x14ac:dyDescent="0.3">
      <c r="A432" s="2"/>
      <c r="B432" s="163"/>
      <c r="C432" s="2"/>
      <c r="D432" s="2"/>
      <c r="E432" s="2"/>
      <c r="F432" s="2"/>
      <c r="G432" s="6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1.25" customHeight="1" x14ac:dyDescent="0.3">
      <c r="A433" s="2"/>
      <c r="B433" s="163"/>
      <c r="C433" s="2"/>
      <c r="D433" s="2"/>
      <c r="E433" s="2"/>
      <c r="F433" s="2"/>
      <c r="G433" s="6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1.25" customHeight="1" x14ac:dyDescent="0.3">
      <c r="A434" s="2"/>
      <c r="B434" s="163"/>
      <c r="C434" s="2"/>
      <c r="D434" s="2"/>
      <c r="E434" s="2"/>
      <c r="F434" s="2"/>
      <c r="G434" s="6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1.25" customHeight="1" x14ac:dyDescent="0.3">
      <c r="A435" s="2"/>
      <c r="B435" s="163"/>
      <c r="C435" s="2"/>
      <c r="D435" s="2"/>
      <c r="E435" s="2"/>
      <c r="F435" s="2"/>
      <c r="G435" s="6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1.25" customHeight="1" x14ac:dyDescent="0.3">
      <c r="A436" s="2"/>
      <c r="B436" s="163"/>
      <c r="C436" s="2"/>
      <c r="D436" s="2"/>
      <c r="E436" s="2"/>
      <c r="F436" s="2"/>
      <c r="G436" s="6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1.25" customHeight="1" x14ac:dyDescent="0.3">
      <c r="A437" s="2"/>
      <c r="B437" s="163"/>
      <c r="C437" s="2"/>
      <c r="D437" s="2"/>
      <c r="E437" s="2"/>
      <c r="F437" s="2"/>
      <c r="G437" s="6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1.25" customHeight="1" x14ac:dyDescent="0.3">
      <c r="A438" s="2"/>
      <c r="B438" s="163"/>
      <c r="C438" s="2"/>
      <c r="D438" s="2"/>
      <c r="E438" s="2"/>
      <c r="F438" s="2"/>
      <c r="G438" s="6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1.25" customHeight="1" x14ac:dyDescent="0.3">
      <c r="A439" s="2"/>
      <c r="B439" s="163"/>
      <c r="C439" s="2"/>
      <c r="D439" s="2"/>
      <c r="E439" s="2"/>
      <c r="F439" s="2"/>
      <c r="G439" s="6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1.25" customHeight="1" x14ac:dyDescent="0.3">
      <c r="A440" s="2"/>
      <c r="B440" s="163"/>
      <c r="C440" s="2"/>
      <c r="D440" s="2"/>
      <c r="E440" s="2"/>
      <c r="F440" s="2"/>
      <c r="G440" s="6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1.25" customHeight="1" x14ac:dyDescent="0.3">
      <c r="A441" s="2"/>
      <c r="B441" s="163"/>
      <c r="C441" s="2"/>
      <c r="D441" s="2"/>
      <c r="E441" s="2"/>
      <c r="F441" s="2"/>
      <c r="G441" s="6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1.25" customHeight="1" x14ac:dyDescent="0.3">
      <c r="A442" s="2"/>
      <c r="B442" s="163"/>
      <c r="C442" s="2"/>
      <c r="D442" s="2"/>
      <c r="E442" s="2"/>
      <c r="F442" s="2"/>
      <c r="G442" s="6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1.25" customHeight="1" x14ac:dyDescent="0.3">
      <c r="A443" s="2"/>
      <c r="B443" s="163"/>
      <c r="C443" s="2"/>
      <c r="D443" s="2"/>
      <c r="E443" s="2"/>
      <c r="F443" s="2"/>
      <c r="G443" s="6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1.25" customHeight="1" x14ac:dyDescent="0.3">
      <c r="A444" s="2"/>
      <c r="B444" s="163"/>
      <c r="C444" s="2"/>
      <c r="D444" s="2"/>
      <c r="E444" s="2"/>
      <c r="F444" s="2"/>
      <c r="G444" s="6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1.25" customHeight="1" x14ac:dyDescent="0.3">
      <c r="A445" s="2"/>
      <c r="B445" s="163"/>
      <c r="C445" s="2"/>
      <c r="D445" s="2"/>
      <c r="E445" s="2"/>
      <c r="F445" s="2"/>
      <c r="G445" s="6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1.25" customHeight="1" x14ac:dyDescent="0.3">
      <c r="A446" s="2"/>
      <c r="B446" s="163"/>
      <c r="C446" s="2"/>
      <c r="D446" s="2"/>
      <c r="E446" s="2"/>
      <c r="F446" s="2"/>
      <c r="G446" s="6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1.25" customHeight="1" x14ac:dyDescent="0.3">
      <c r="A447" s="2"/>
      <c r="B447" s="163"/>
      <c r="C447" s="2"/>
      <c r="D447" s="2"/>
      <c r="E447" s="2"/>
      <c r="F447" s="2"/>
      <c r="G447" s="6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1.25" customHeight="1" x14ac:dyDescent="0.3">
      <c r="A448" s="2"/>
      <c r="B448" s="163"/>
      <c r="C448" s="2"/>
      <c r="D448" s="2"/>
      <c r="E448" s="2"/>
      <c r="F448" s="2"/>
      <c r="G448" s="6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1.25" customHeight="1" x14ac:dyDescent="0.3">
      <c r="A449" s="2"/>
      <c r="B449" s="163"/>
      <c r="C449" s="2"/>
      <c r="D449" s="2"/>
      <c r="E449" s="2"/>
      <c r="F449" s="2"/>
      <c r="G449" s="6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1.25" customHeight="1" x14ac:dyDescent="0.3">
      <c r="A450" s="2"/>
      <c r="B450" s="163"/>
      <c r="C450" s="2"/>
      <c r="D450" s="2"/>
      <c r="E450" s="2"/>
      <c r="F450" s="2"/>
      <c r="G450" s="6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1.25" customHeight="1" x14ac:dyDescent="0.3">
      <c r="A451" s="2"/>
      <c r="B451" s="163"/>
      <c r="C451" s="2"/>
      <c r="D451" s="2"/>
      <c r="E451" s="2"/>
      <c r="F451" s="2"/>
      <c r="G451" s="6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1.25" customHeight="1" x14ac:dyDescent="0.3">
      <c r="A452" s="2"/>
      <c r="B452" s="163"/>
      <c r="C452" s="2"/>
      <c r="D452" s="2"/>
      <c r="E452" s="2"/>
      <c r="F452" s="2"/>
      <c r="G452" s="6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1.25" customHeight="1" x14ac:dyDescent="0.3">
      <c r="A453" s="2"/>
      <c r="B453" s="163"/>
      <c r="C453" s="2"/>
      <c r="D453" s="2"/>
      <c r="E453" s="2"/>
      <c r="F453" s="2"/>
      <c r="G453" s="6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1.25" customHeight="1" x14ac:dyDescent="0.3">
      <c r="A454" s="2"/>
      <c r="B454" s="163"/>
      <c r="C454" s="2"/>
      <c r="D454" s="2"/>
      <c r="E454" s="2"/>
      <c r="F454" s="2"/>
      <c r="G454" s="6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1.25" customHeight="1" x14ac:dyDescent="0.3">
      <c r="A455" s="2"/>
      <c r="B455" s="163"/>
      <c r="C455" s="2"/>
      <c r="D455" s="2"/>
      <c r="E455" s="2"/>
      <c r="F455" s="2"/>
      <c r="G455" s="6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1.25" customHeight="1" x14ac:dyDescent="0.3">
      <c r="A456" s="2"/>
      <c r="B456" s="163"/>
      <c r="C456" s="2"/>
      <c r="D456" s="2"/>
      <c r="E456" s="2"/>
      <c r="F456" s="2"/>
      <c r="G456" s="6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1.25" customHeight="1" x14ac:dyDescent="0.3">
      <c r="A457" s="2"/>
      <c r="B457" s="163"/>
      <c r="C457" s="2"/>
      <c r="D457" s="2"/>
      <c r="E457" s="2"/>
      <c r="F457" s="2"/>
      <c r="G457" s="6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1.25" customHeight="1" x14ac:dyDescent="0.3">
      <c r="A458" s="2"/>
      <c r="B458" s="163"/>
      <c r="C458" s="2"/>
      <c r="D458" s="2"/>
      <c r="E458" s="2"/>
      <c r="F458" s="2"/>
      <c r="G458" s="6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1.25" customHeight="1" x14ac:dyDescent="0.3">
      <c r="A459" s="2"/>
      <c r="B459" s="163"/>
      <c r="C459" s="2"/>
      <c r="D459" s="2"/>
      <c r="E459" s="2"/>
      <c r="F459" s="2"/>
      <c r="G459" s="6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1.25" customHeight="1" x14ac:dyDescent="0.3">
      <c r="A460" s="2"/>
      <c r="B460" s="163"/>
      <c r="C460" s="2"/>
      <c r="D460" s="2"/>
      <c r="E460" s="2"/>
      <c r="F460" s="2"/>
      <c r="G460" s="6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1.25" customHeight="1" x14ac:dyDescent="0.3">
      <c r="A461" s="2"/>
      <c r="B461" s="163"/>
      <c r="C461" s="2"/>
      <c r="D461" s="2"/>
      <c r="E461" s="2"/>
      <c r="F461" s="2"/>
      <c r="G461" s="6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1.25" customHeight="1" x14ac:dyDescent="0.3">
      <c r="A462" s="2"/>
      <c r="B462" s="163"/>
      <c r="C462" s="2"/>
      <c r="D462" s="2"/>
      <c r="E462" s="2"/>
      <c r="F462" s="2"/>
      <c r="G462" s="6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1.25" customHeight="1" x14ac:dyDescent="0.3">
      <c r="A463" s="2"/>
      <c r="B463" s="163"/>
      <c r="C463" s="2"/>
      <c r="D463" s="2"/>
      <c r="E463" s="2"/>
      <c r="F463" s="2"/>
      <c r="G463" s="6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1.25" customHeight="1" x14ac:dyDescent="0.3">
      <c r="A464" s="2"/>
      <c r="B464" s="163"/>
      <c r="C464" s="2"/>
      <c r="D464" s="2"/>
      <c r="E464" s="2"/>
      <c r="F464" s="2"/>
      <c r="G464" s="6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1.25" customHeight="1" x14ac:dyDescent="0.3">
      <c r="A465" s="2"/>
      <c r="B465" s="163"/>
      <c r="C465" s="2"/>
      <c r="D465" s="2"/>
      <c r="E465" s="2"/>
      <c r="F465" s="2"/>
      <c r="G465" s="6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1.25" customHeight="1" x14ac:dyDescent="0.3">
      <c r="A466" s="2"/>
      <c r="B466" s="163"/>
      <c r="C466" s="2"/>
      <c r="D466" s="2"/>
      <c r="E466" s="2"/>
      <c r="F466" s="2"/>
      <c r="G466" s="6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1.25" customHeight="1" x14ac:dyDescent="0.3">
      <c r="A467" s="2"/>
      <c r="B467" s="163"/>
      <c r="C467" s="2"/>
      <c r="D467" s="2"/>
      <c r="E467" s="2"/>
      <c r="F467" s="2"/>
      <c r="G467" s="6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1.25" customHeight="1" x14ac:dyDescent="0.3">
      <c r="A468" s="2"/>
      <c r="B468" s="163"/>
      <c r="C468" s="2"/>
      <c r="D468" s="2"/>
      <c r="E468" s="2"/>
      <c r="F468" s="2"/>
      <c r="G468" s="6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1.25" customHeight="1" x14ac:dyDescent="0.3">
      <c r="A469" s="2"/>
      <c r="B469" s="163"/>
      <c r="C469" s="2"/>
      <c r="D469" s="2"/>
      <c r="E469" s="2"/>
      <c r="F469" s="2"/>
      <c r="G469" s="6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1.25" customHeight="1" x14ac:dyDescent="0.3">
      <c r="A470" s="2"/>
      <c r="B470" s="163"/>
      <c r="C470" s="2"/>
      <c r="D470" s="2"/>
      <c r="E470" s="2"/>
      <c r="F470" s="2"/>
      <c r="G470" s="6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1.25" customHeight="1" x14ac:dyDescent="0.3">
      <c r="A471" s="2"/>
      <c r="B471" s="163"/>
      <c r="C471" s="2"/>
      <c r="D471" s="2"/>
      <c r="E471" s="2"/>
      <c r="F471" s="2"/>
      <c r="G471" s="6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1.25" customHeight="1" x14ac:dyDescent="0.3">
      <c r="A472" s="2"/>
      <c r="B472" s="163"/>
      <c r="C472" s="2"/>
      <c r="D472" s="2"/>
      <c r="E472" s="2"/>
      <c r="F472" s="2"/>
      <c r="G472" s="6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1.25" customHeight="1" x14ac:dyDescent="0.3">
      <c r="A473" s="2"/>
      <c r="B473" s="163"/>
      <c r="C473" s="2"/>
      <c r="D473" s="2"/>
      <c r="E473" s="2"/>
      <c r="F473" s="2"/>
      <c r="G473" s="6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1.25" customHeight="1" x14ac:dyDescent="0.3">
      <c r="A474" s="2"/>
      <c r="B474" s="163"/>
      <c r="C474" s="2"/>
      <c r="D474" s="2"/>
      <c r="E474" s="2"/>
      <c r="F474" s="2"/>
      <c r="G474" s="6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1.25" customHeight="1" x14ac:dyDescent="0.3">
      <c r="A475" s="2"/>
      <c r="B475" s="163"/>
      <c r="C475" s="2"/>
      <c r="D475" s="2"/>
      <c r="E475" s="2"/>
      <c r="F475" s="2"/>
      <c r="G475" s="6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1.25" customHeight="1" x14ac:dyDescent="0.3">
      <c r="A476" s="2"/>
      <c r="B476" s="163"/>
      <c r="C476" s="2"/>
      <c r="D476" s="2"/>
      <c r="E476" s="2"/>
      <c r="F476" s="2"/>
      <c r="G476" s="6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1.25" customHeight="1" x14ac:dyDescent="0.3">
      <c r="A477" s="2"/>
      <c r="B477" s="163"/>
      <c r="C477" s="2"/>
      <c r="D477" s="2"/>
      <c r="E477" s="2"/>
      <c r="F477" s="2"/>
      <c r="G477" s="6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1.25" customHeight="1" x14ac:dyDescent="0.3">
      <c r="A478" s="2"/>
      <c r="B478" s="163"/>
      <c r="C478" s="2"/>
      <c r="D478" s="2"/>
      <c r="E478" s="2"/>
      <c r="F478" s="2"/>
      <c r="G478" s="6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1.25" customHeight="1" x14ac:dyDescent="0.3">
      <c r="A479" s="2"/>
      <c r="B479" s="163"/>
      <c r="C479" s="2"/>
      <c r="D479" s="2"/>
      <c r="E479" s="2"/>
      <c r="F479" s="2"/>
      <c r="G479" s="6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1.25" customHeight="1" x14ac:dyDescent="0.3">
      <c r="A480" s="2"/>
      <c r="B480" s="163"/>
      <c r="C480" s="2"/>
      <c r="D480" s="2"/>
      <c r="E480" s="2"/>
      <c r="F480" s="2"/>
      <c r="G480" s="6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1.25" customHeight="1" x14ac:dyDescent="0.3">
      <c r="A481" s="2"/>
      <c r="B481" s="163"/>
      <c r="C481" s="2"/>
      <c r="D481" s="2"/>
      <c r="E481" s="2"/>
      <c r="F481" s="2"/>
      <c r="G481" s="6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1.25" customHeight="1" x14ac:dyDescent="0.3">
      <c r="A482" s="2"/>
      <c r="B482" s="163"/>
      <c r="C482" s="2"/>
      <c r="D482" s="2"/>
      <c r="E482" s="2"/>
      <c r="F482" s="2"/>
      <c r="G482" s="6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1.25" customHeight="1" x14ac:dyDescent="0.3">
      <c r="A483" s="2"/>
      <c r="B483" s="163"/>
      <c r="C483" s="2"/>
      <c r="D483" s="2"/>
      <c r="E483" s="2"/>
      <c r="F483" s="2"/>
      <c r="G483" s="6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1.25" customHeight="1" x14ac:dyDescent="0.3">
      <c r="A484" s="2"/>
      <c r="B484" s="163"/>
      <c r="C484" s="2"/>
      <c r="D484" s="2"/>
      <c r="E484" s="2"/>
      <c r="F484" s="2"/>
      <c r="G484" s="6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1.25" customHeight="1" x14ac:dyDescent="0.3">
      <c r="A485" s="2"/>
      <c r="B485" s="163"/>
      <c r="C485" s="2"/>
      <c r="D485" s="2"/>
      <c r="E485" s="2"/>
      <c r="F485" s="2"/>
      <c r="G485" s="6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1.25" customHeight="1" x14ac:dyDescent="0.3">
      <c r="A486" s="2"/>
      <c r="B486" s="163"/>
      <c r="C486" s="2"/>
      <c r="D486" s="2"/>
      <c r="E486" s="2"/>
      <c r="F486" s="2"/>
      <c r="G486" s="6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1.25" customHeight="1" x14ac:dyDescent="0.3">
      <c r="A487" s="2"/>
      <c r="B487" s="163"/>
      <c r="C487" s="2"/>
      <c r="D487" s="2"/>
      <c r="E487" s="2"/>
      <c r="F487" s="2"/>
      <c r="G487" s="6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1.25" customHeight="1" x14ac:dyDescent="0.3">
      <c r="A488" s="2"/>
      <c r="B488" s="163"/>
      <c r="C488" s="2"/>
      <c r="D488" s="2"/>
      <c r="E488" s="2"/>
      <c r="F488" s="2"/>
      <c r="G488" s="6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1.25" customHeight="1" x14ac:dyDescent="0.3">
      <c r="A489" s="2"/>
      <c r="B489" s="163"/>
      <c r="C489" s="2"/>
      <c r="D489" s="2"/>
      <c r="E489" s="2"/>
      <c r="F489" s="2"/>
      <c r="G489" s="6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1.25" customHeight="1" x14ac:dyDescent="0.3">
      <c r="A490" s="2"/>
      <c r="B490" s="163"/>
      <c r="C490" s="2"/>
      <c r="D490" s="2"/>
      <c r="E490" s="2"/>
      <c r="F490" s="2"/>
      <c r="G490" s="6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1.25" customHeight="1" x14ac:dyDescent="0.3">
      <c r="A491" s="2"/>
      <c r="B491" s="163"/>
      <c r="C491" s="2"/>
      <c r="D491" s="2"/>
      <c r="E491" s="2"/>
      <c r="F491" s="2"/>
      <c r="G491" s="6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1.25" customHeight="1" x14ac:dyDescent="0.3">
      <c r="A492" s="2"/>
      <c r="B492" s="163"/>
      <c r="C492" s="2"/>
      <c r="D492" s="2"/>
      <c r="E492" s="2"/>
      <c r="F492" s="2"/>
      <c r="G492" s="6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1.25" customHeight="1" x14ac:dyDescent="0.3">
      <c r="A493" s="2"/>
      <c r="B493" s="163"/>
      <c r="C493" s="2"/>
      <c r="D493" s="2"/>
      <c r="E493" s="2"/>
      <c r="F493" s="2"/>
      <c r="G493" s="6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1.25" customHeight="1" x14ac:dyDescent="0.3">
      <c r="A494" s="2"/>
      <c r="B494" s="163"/>
      <c r="C494" s="2"/>
      <c r="D494" s="2"/>
      <c r="E494" s="2"/>
      <c r="F494" s="2"/>
      <c r="G494" s="6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1.25" customHeight="1" x14ac:dyDescent="0.3">
      <c r="A495" s="2"/>
      <c r="B495" s="163"/>
      <c r="C495" s="2"/>
      <c r="D495" s="2"/>
      <c r="E495" s="2"/>
      <c r="F495" s="2"/>
      <c r="G495" s="6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1.25" customHeight="1" x14ac:dyDescent="0.3">
      <c r="A496" s="2"/>
      <c r="B496" s="163"/>
      <c r="C496" s="2"/>
      <c r="D496" s="2"/>
      <c r="E496" s="2"/>
      <c r="F496" s="2"/>
      <c r="G496" s="6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1.25" customHeight="1" x14ac:dyDescent="0.3">
      <c r="A497" s="2"/>
      <c r="B497" s="163"/>
      <c r="C497" s="2"/>
      <c r="D497" s="2"/>
      <c r="E497" s="2"/>
      <c r="F497" s="2"/>
      <c r="G497" s="6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1.25" customHeight="1" x14ac:dyDescent="0.3">
      <c r="A498" s="2"/>
      <c r="B498" s="163"/>
      <c r="C498" s="2"/>
      <c r="D498" s="2"/>
      <c r="E498" s="2"/>
      <c r="F498" s="2"/>
      <c r="G498" s="6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1.25" customHeight="1" x14ac:dyDescent="0.3">
      <c r="A499" s="2"/>
      <c r="B499" s="163"/>
      <c r="C499" s="2"/>
      <c r="D499" s="2"/>
      <c r="E499" s="2"/>
      <c r="F499" s="2"/>
      <c r="G499" s="6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1.25" customHeight="1" x14ac:dyDescent="0.3">
      <c r="A500" s="2"/>
      <c r="B500" s="163"/>
      <c r="C500" s="2"/>
      <c r="D500" s="2"/>
      <c r="E500" s="2"/>
      <c r="F500" s="2"/>
      <c r="G500" s="6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1.25" customHeight="1" x14ac:dyDescent="0.3">
      <c r="A501" s="2"/>
      <c r="B501" s="19"/>
      <c r="C501" s="18"/>
      <c r="D501" s="20"/>
      <c r="E501" s="19"/>
      <c r="F501" s="1"/>
      <c r="G501" s="121"/>
      <c r="H501" s="1"/>
      <c r="I501" s="1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1.25" customHeight="1" x14ac:dyDescent="0.3">
      <c r="A502" s="2"/>
      <c r="B502" s="19"/>
      <c r="C502" s="18"/>
      <c r="D502" s="20"/>
      <c r="E502" s="19"/>
      <c r="F502" s="1"/>
      <c r="G502" s="121"/>
      <c r="H502" s="1"/>
      <c r="I502" s="1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1.25" customHeight="1" x14ac:dyDescent="0.3">
      <c r="A503" s="2"/>
      <c r="B503" s="19"/>
      <c r="C503" s="18"/>
      <c r="D503" s="20"/>
      <c r="E503" s="19"/>
      <c r="F503" s="1"/>
      <c r="G503" s="121"/>
      <c r="H503" s="1"/>
      <c r="I503" s="1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1.25" customHeight="1" x14ac:dyDescent="0.3">
      <c r="A504" s="2"/>
      <c r="B504" s="19"/>
      <c r="C504" s="18"/>
      <c r="D504" s="20"/>
      <c r="E504" s="19"/>
      <c r="F504" s="1"/>
      <c r="G504" s="121"/>
      <c r="H504" s="1"/>
      <c r="I504" s="1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1.25" customHeight="1" x14ac:dyDescent="0.3">
      <c r="A505" s="2"/>
      <c r="B505" s="19"/>
      <c r="C505" s="18"/>
      <c r="D505" s="20"/>
      <c r="E505" s="19"/>
      <c r="F505" s="1"/>
      <c r="G505" s="121"/>
      <c r="H505" s="1"/>
      <c r="I505" s="1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1.25" customHeight="1" x14ac:dyDescent="0.3">
      <c r="A506" s="2"/>
      <c r="B506" s="19"/>
      <c r="C506" s="18"/>
      <c r="D506" s="20"/>
      <c r="E506" s="19"/>
      <c r="F506" s="1"/>
      <c r="G506" s="121"/>
      <c r="H506" s="1"/>
      <c r="I506" s="1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1.25" customHeight="1" x14ac:dyDescent="0.3">
      <c r="A507" s="2"/>
      <c r="B507" s="19"/>
      <c r="C507" s="18"/>
      <c r="D507" s="20"/>
      <c r="E507" s="19"/>
      <c r="F507" s="1"/>
      <c r="G507" s="121"/>
      <c r="H507" s="1"/>
      <c r="I507" s="1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1.25" customHeight="1" x14ac:dyDescent="0.3">
      <c r="A508" s="2"/>
      <c r="B508" s="19"/>
      <c r="C508" s="18"/>
      <c r="D508" s="20"/>
      <c r="E508" s="19"/>
      <c r="F508" s="1"/>
      <c r="G508" s="121"/>
      <c r="H508" s="1"/>
      <c r="I508" s="1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1.25" customHeight="1" x14ac:dyDescent="0.3">
      <c r="A509" s="2"/>
      <c r="B509" s="19"/>
      <c r="C509" s="18"/>
      <c r="D509" s="20"/>
      <c r="E509" s="19"/>
      <c r="F509" s="1"/>
      <c r="G509" s="121"/>
      <c r="H509" s="1"/>
      <c r="I509" s="1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1.25" customHeight="1" x14ac:dyDescent="0.3">
      <c r="A510" s="2"/>
      <c r="B510" s="19"/>
      <c r="C510" s="18"/>
      <c r="D510" s="20"/>
      <c r="E510" s="19"/>
      <c r="F510" s="1"/>
      <c r="G510" s="121"/>
      <c r="H510" s="1"/>
      <c r="I510" s="1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1.25" customHeight="1" x14ac:dyDescent="0.3">
      <c r="A511" s="2"/>
      <c r="B511" s="19"/>
      <c r="C511" s="18"/>
      <c r="D511" s="20"/>
      <c r="E511" s="19"/>
      <c r="F511" s="1"/>
      <c r="G511" s="121"/>
      <c r="H511" s="1"/>
      <c r="I511" s="1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1.25" customHeight="1" x14ac:dyDescent="0.3">
      <c r="A512" s="2"/>
      <c r="B512" s="19"/>
      <c r="C512" s="18"/>
      <c r="D512" s="20"/>
      <c r="E512" s="19"/>
      <c r="F512" s="1"/>
      <c r="G512" s="121"/>
      <c r="H512" s="1"/>
      <c r="I512" s="1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1.25" customHeight="1" x14ac:dyDescent="0.3">
      <c r="A513" s="2"/>
      <c r="B513" s="19"/>
      <c r="C513" s="18"/>
      <c r="D513" s="20"/>
      <c r="E513" s="19"/>
      <c r="F513" s="1"/>
      <c r="G513" s="121"/>
      <c r="H513" s="1"/>
      <c r="I513" s="1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1.25" customHeight="1" x14ac:dyDescent="0.3">
      <c r="A514" s="2"/>
      <c r="B514" s="19"/>
      <c r="C514" s="18"/>
      <c r="D514" s="20"/>
      <c r="E514" s="19"/>
      <c r="F514" s="1"/>
      <c r="G514" s="121"/>
      <c r="H514" s="1"/>
      <c r="I514" s="1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1.25" customHeight="1" x14ac:dyDescent="0.3">
      <c r="A515" s="2"/>
      <c r="B515" s="19"/>
      <c r="C515" s="18"/>
      <c r="D515" s="20"/>
      <c r="E515" s="19"/>
      <c r="F515" s="1"/>
      <c r="G515" s="121"/>
      <c r="H515" s="1"/>
      <c r="I515" s="1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1.25" customHeight="1" x14ac:dyDescent="0.3">
      <c r="A516" s="2"/>
      <c r="B516" s="19"/>
      <c r="C516" s="18"/>
      <c r="D516" s="20"/>
      <c r="E516" s="19"/>
      <c r="F516" s="1"/>
      <c r="G516" s="121"/>
      <c r="H516" s="1"/>
      <c r="I516" s="1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1.25" customHeight="1" x14ac:dyDescent="0.3">
      <c r="A517" s="2"/>
      <c r="B517" s="19"/>
      <c r="C517" s="18"/>
      <c r="D517" s="20"/>
      <c r="E517" s="19"/>
      <c r="F517" s="1"/>
      <c r="G517" s="121"/>
      <c r="H517" s="1"/>
      <c r="I517" s="1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1.25" customHeight="1" x14ac:dyDescent="0.3">
      <c r="A518" s="2"/>
      <c r="B518" s="19"/>
      <c r="C518" s="18"/>
      <c r="D518" s="20"/>
      <c r="E518" s="19"/>
      <c r="F518" s="1"/>
      <c r="G518" s="121"/>
      <c r="H518" s="1"/>
      <c r="I518" s="1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1.25" customHeight="1" x14ac:dyDescent="0.3">
      <c r="A519" s="2"/>
      <c r="B519" s="19"/>
      <c r="C519" s="18"/>
      <c r="D519" s="20"/>
      <c r="E519" s="19"/>
      <c r="F519" s="1"/>
      <c r="G519" s="121"/>
      <c r="H519" s="1"/>
      <c r="I519" s="1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1.25" customHeight="1" x14ac:dyDescent="0.3">
      <c r="A520" s="2"/>
      <c r="B520" s="19"/>
      <c r="C520" s="18"/>
      <c r="D520" s="20"/>
      <c r="E520" s="19"/>
      <c r="F520" s="1"/>
      <c r="G520" s="121"/>
      <c r="H520" s="1"/>
      <c r="I520" s="1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1.25" customHeight="1" x14ac:dyDescent="0.3">
      <c r="A521" s="2"/>
      <c r="B521" s="19"/>
      <c r="C521" s="18"/>
      <c r="D521" s="20"/>
      <c r="E521" s="19"/>
      <c r="F521" s="1"/>
      <c r="G521" s="121"/>
      <c r="H521" s="1"/>
      <c r="I521" s="1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1.25" customHeight="1" x14ac:dyDescent="0.3">
      <c r="A522" s="2"/>
      <c r="B522" s="19"/>
      <c r="C522" s="18"/>
      <c r="D522" s="20"/>
      <c r="E522" s="19"/>
      <c r="F522" s="1"/>
      <c r="G522" s="121"/>
      <c r="H522" s="1"/>
      <c r="I522" s="1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1.25" customHeight="1" x14ac:dyDescent="0.3">
      <c r="A523" s="2"/>
      <c r="B523" s="19"/>
      <c r="C523" s="18"/>
      <c r="D523" s="20"/>
      <c r="E523" s="19"/>
      <c r="F523" s="1"/>
      <c r="G523" s="121"/>
      <c r="H523" s="1"/>
      <c r="I523" s="1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1.25" customHeight="1" x14ac:dyDescent="0.3">
      <c r="A524" s="2"/>
      <c r="B524" s="19"/>
      <c r="C524" s="18"/>
      <c r="D524" s="20"/>
      <c r="E524" s="19"/>
      <c r="F524" s="1"/>
      <c r="G524" s="121"/>
      <c r="H524" s="1"/>
      <c r="I524" s="1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1.25" customHeight="1" x14ac:dyDescent="0.3">
      <c r="A525" s="2"/>
      <c r="B525" s="19"/>
      <c r="C525" s="18"/>
      <c r="D525" s="20"/>
      <c r="E525" s="19"/>
      <c r="F525" s="1"/>
      <c r="G525" s="121"/>
      <c r="H525" s="1"/>
      <c r="I525" s="1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1.25" customHeight="1" x14ac:dyDescent="0.3">
      <c r="A526" s="2"/>
      <c r="B526" s="19"/>
      <c r="C526" s="18"/>
      <c r="D526" s="20"/>
      <c r="E526" s="19"/>
      <c r="F526" s="1"/>
      <c r="G526" s="121"/>
      <c r="H526" s="1"/>
      <c r="I526" s="1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1.25" customHeight="1" x14ac:dyDescent="0.3">
      <c r="A527" s="2"/>
      <c r="B527" s="19"/>
      <c r="C527" s="18"/>
      <c r="D527" s="20"/>
      <c r="E527" s="19"/>
      <c r="F527" s="1"/>
      <c r="G527" s="121"/>
      <c r="H527" s="1"/>
      <c r="I527" s="1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1.25" customHeight="1" x14ac:dyDescent="0.3">
      <c r="A528" s="2"/>
      <c r="B528" s="19"/>
      <c r="C528" s="18"/>
      <c r="D528" s="20"/>
      <c r="E528" s="19"/>
      <c r="F528" s="1"/>
      <c r="G528" s="121"/>
      <c r="H528" s="1"/>
      <c r="I528" s="1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1.25" customHeight="1" x14ac:dyDescent="0.3">
      <c r="A529" s="2"/>
      <c r="B529" s="19"/>
      <c r="C529" s="18"/>
      <c r="D529" s="20"/>
      <c r="E529" s="19"/>
      <c r="F529" s="1"/>
      <c r="G529" s="121"/>
      <c r="H529" s="1"/>
      <c r="I529" s="1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1.25" customHeight="1" x14ac:dyDescent="0.3">
      <c r="A530" s="2"/>
      <c r="B530" s="19"/>
      <c r="C530" s="18"/>
      <c r="D530" s="20"/>
      <c r="E530" s="19"/>
      <c r="F530" s="1"/>
      <c r="G530" s="121"/>
      <c r="H530" s="1"/>
      <c r="I530" s="1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1.25" customHeight="1" x14ac:dyDescent="0.3">
      <c r="A531" s="2"/>
      <c r="B531" s="19"/>
      <c r="C531" s="18"/>
      <c r="D531" s="20"/>
      <c r="E531" s="19"/>
      <c r="F531" s="1"/>
      <c r="G531" s="121"/>
      <c r="H531" s="1"/>
      <c r="I531" s="1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1.25" customHeight="1" x14ac:dyDescent="0.3">
      <c r="A532" s="2"/>
      <c r="B532" s="19"/>
      <c r="C532" s="18"/>
      <c r="D532" s="20"/>
      <c r="E532" s="19"/>
      <c r="F532" s="1"/>
      <c r="G532" s="121"/>
      <c r="H532" s="1"/>
      <c r="I532" s="1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1.25" customHeight="1" x14ac:dyDescent="0.3">
      <c r="A533" s="2"/>
      <c r="B533" s="19"/>
      <c r="C533" s="18"/>
      <c r="D533" s="20"/>
      <c r="E533" s="19"/>
      <c r="F533" s="1"/>
      <c r="G533" s="121"/>
      <c r="H533" s="1"/>
      <c r="I533" s="1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1.25" customHeight="1" x14ac:dyDescent="0.3">
      <c r="A534" s="2"/>
      <c r="B534" s="19"/>
      <c r="C534" s="18"/>
      <c r="D534" s="20"/>
      <c r="E534" s="19"/>
      <c r="F534" s="1"/>
      <c r="G534" s="121"/>
      <c r="H534" s="1"/>
      <c r="I534" s="1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1.25" customHeight="1" x14ac:dyDescent="0.3">
      <c r="A535" s="2"/>
      <c r="B535" s="19"/>
      <c r="C535" s="18"/>
      <c r="D535" s="20"/>
      <c r="E535" s="19"/>
      <c r="F535" s="1"/>
      <c r="G535" s="121"/>
      <c r="H535" s="1"/>
      <c r="I535" s="1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1.25" customHeight="1" x14ac:dyDescent="0.3">
      <c r="A536" s="2"/>
      <c r="B536" s="19"/>
      <c r="C536" s="18"/>
      <c r="D536" s="20"/>
      <c r="E536" s="19"/>
      <c r="F536" s="1"/>
      <c r="G536" s="121"/>
      <c r="H536" s="1"/>
      <c r="I536" s="1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1.25" customHeight="1" x14ac:dyDescent="0.3">
      <c r="A537" s="2"/>
      <c r="B537" s="19"/>
      <c r="C537" s="18"/>
      <c r="D537" s="20"/>
      <c r="E537" s="19"/>
      <c r="F537" s="1"/>
      <c r="G537" s="121"/>
      <c r="H537" s="1"/>
      <c r="I537" s="1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1.25" customHeight="1" x14ac:dyDescent="0.3">
      <c r="A538" s="2"/>
      <c r="B538" s="19"/>
      <c r="C538" s="18"/>
      <c r="D538" s="20"/>
      <c r="E538" s="19"/>
      <c r="F538" s="1"/>
      <c r="G538" s="121"/>
      <c r="H538" s="1"/>
      <c r="I538" s="1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1.25" customHeight="1" x14ac:dyDescent="0.3">
      <c r="A539" s="2"/>
      <c r="B539" s="19"/>
      <c r="C539" s="18"/>
      <c r="D539" s="20"/>
      <c r="E539" s="19"/>
      <c r="F539" s="1"/>
      <c r="G539" s="121"/>
      <c r="H539" s="1"/>
      <c r="I539" s="1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1.25" customHeight="1" x14ac:dyDescent="0.3">
      <c r="A540" s="2"/>
      <c r="B540" s="19"/>
      <c r="C540" s="18"/>
      <c r="D540" s="20"/>
      <c r="E540" s="19"/>
      <c r="F540" s="1"/>
      <c r="G540" s="121"/>
      <c r="H540" s="1"/>
      <c r="I540" s="1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1.25" customHeight="1" x14ac:dyDescent="0.3">
      <c r="A541" s="2"/>
      <c r="B541" s="19"/>
      <c r="C541" s="18"/>
      <c r="D541" s="20"/>
      <c r="E541" s="19"/>
      <c r="F541" s="1"/>
      <c r="G541" s="121"/>
      <c r="H541" s="1"/>
      <c r="I541" s="1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1.25" customHeight="1" x14ac:dyDescent="0.3">
      <c r="A542" s="2"/>
      <c r="B542" s="19"/>
      <c r="C542" s="18"/>
      <c r="D542" s="20"/>
      <c r="E542" s="19"/>
      <c r="F542" s="1"/>
      <c r="G542" s="121"/>
      <c r="H542" s="1"/>
      <c r="I542" s="1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1.25" customHeight="1" x14ac:dyDescent="0.3">
      <c r="A543" s="2"/>
      <c r="B543" s="19"/>
      <c r="C543" s="18"/>
      <c r="D543" s="20"/>
      <c r="E543" s="19"/>
      <c r="F543" s="1"/>
      <c r="G543" s="121"/>
      <c r="H543" s="1"/>
      <c r="I543" s="1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1.25" customHeight="1" x14ac:dyDescent="0.3">
      <c r="A544" s="2"/>
      <c r="B544" s="19"/>
      <c r="C544" s="18"/>
      <c r="D544" s="20"/>
      <c r="E544" s="19"/>
      <c r="F544" s="1"/>
      <c r="G544" s="121"/>
      <c r="H544" s="1"/>
      <c r="I544" s="1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1.25" customHeight="1" x14ac:dyDescent="0.3">
      <c r="A545" s="2"/>
      <c r="B545" s="19"/>
      <c r="C545" s="18"/>
      <c r="D545" s="20"/>
      <c r="E545" s="19"/>
      <c r="F545" s="1"/>
      <c r="G545" s="121"/>
      <c r="H545" s="1"/>
      <c r="I545" s="1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1.25" customHeight="1" x14ac:dyDescent="0.3">
      <c r="A546" s="2"/>
      <c r="B546" s="19"/>
      <c r="C546" s="18"/>
      <c r="D546" s="20"/>
      <c r="E546" s="19"/>
      <c r="F546" s="1"/>
      <c r="G546" s="121"/>
      <c r="H546" s="1"/>
      <c r="I546" s="1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1.25" customHeight="1" x14ac:dyDescent="0.3">
      <c r="A547" s="2"/>
      <c r="B547" s="19"/>
      <c r="C547" s="18"/>
      <c r="D547" s="20"/>
      <c r="E547" s="19"/>
      <c r="F547" s="1"/>
      <c r="G547" s="121"/>
      <c r="H547" s="1"/>
      <c r="I547" s="1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1.25" customHeight="1" x14ac:dyDescent="0.3">
      <c r="A548" s="2"/>
      <c r="B548" s="19"/>
      <c r="C548" s="18"/>
      <c r="D548" s="20"/>
      <c r="E548" s="19"/>
      <c r="F548" s="1"/>
      <c r="G548" s="121"/>
      <c r="H548" s="1"/>
      <c r="I548" s="1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1.25" customHeight="1" x14ac:dyDescent="0.3">
      <c r="A549" s="2"/>
      <c r="B549" s="19"/>
      <c r="C549" s="18"/>
      <c r="D549" s="20"/>
      <c r="E549" s="19"/>
      <c r="F549" s="1"/>
      <c r="G549" s="121"/>
      <c r="H549" s="1"/>
      <c r="I549" s="1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1.25" customHeight="1" x14ac:dyDescent="0.3">
      <c r="A550" s="2"/>
      <c r="B550" s="19"/>
      <c r="C550" s="18"/>
      <c r="D550" s="20"/>
      <c r="E550" s="19"/>
      <c r="F550" s="1"/>
      <c r="G550" s="121"/>
      <c r="H550" s="1"/>
      <c r="I550" s="1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1.25" customHeight="1" x14ac:dyDescent="0.3">
      <c r="A551" s="2"/>
      <c r="B551" s="19"/>
      <c r="C551" s="18"/>
      <c r="D551" s="20"/>
      <c r="E551" s="19"/>
      <c r="F551" s="1"/>
      <c r="G551" s="121"/>
      <c r="H551" s="1"/>
      <c r="I551" s="1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1.25" customHeight="1" x14ac:dyDescent="0.3">
      <c r="A552" s="2"/>
      <c r="B552" s="19"/>
      <c r="C552" s="18"/>
      <c r="D552" s="20"/>
      <c r="E552" s="19"/>
      <c r="F552" s="1"/>
      <c r="G552" s="121"/>
      <c r="H552" s="1"/>
      <c r="I552" s="1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1.25" customHeight="1" x14ac:dyDescent="0.3">
      <c r="A553" s="2"/>
      <c r="B553" s="19"/>
      <c r="C553" s="18"/>
      <c r="D553" s="20"/>
      <c r="E553" s="19"/>
      <c r="F553" s="1"/>
      <c r="G553" s="121"/>
      <c r="H553" s="1"/>
      <c r="I553" s="1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1.25" customHeight="1" x14ac:dyDescent="0.3">
      <c r="A554" s="2"/>
      <c r="B554" s="19"/>
      <c r="C554" s="18"/>
      <c r="D554" s="20"/>
      <c r="E554" s="19"/>
      <c r="F554" s="1"/>
      <c r="G554" s="121"/>
      <c r="H554" s="1"/>
      <c r="I554" s="1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1.25" customHeight="1" x14ac:dyDescent="0.3">
      <c r="A555" s="2"/>
      <c r="B555" s="19"/>
      <c r="C555" s="18"/>
      <c r="D555" s="20"/>
      <c r="E555" s="19"/>
      <c r="F555" s="1"/>
      <c r="G555" s="121"/>
      <c r="H555" s="1"/>
      <c r="I555" s="1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1.25" customHeight="1" x14ac:dyDescent="0.3">
      <c r="A556" s="2"/>
      <c r="B556" s="19"/>
      <c r="C556" s="18"/>
      <c r="D556" s="20"/>
      <c r="E556" s="19"/>
      <c r="F556" s="1"/>
      <c r="G556" s="121"/>
      <c r="H556" s="1"/>
      <c r="I556" s="1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1.25" customHeight="1" x14ac:dyDescent="0.3">
      <c r="A557" s="2"/>
      <c r="B557" s="19"/>
      <c r="C557" s="18"/>
      <c r="D557" s="20"/>
      <c r="E557" s="19"/>
      <c r="F557" s="1"/>
      <c r="G557" s="121"/>
      <c r="H557" s="1"/>
      <c r="I557" s="1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1.25" customHeight="1" x14ac:dyDescent="0.3">
      <c r="A558" s="2"/>
      <c r="B558" s="19"/>
      <c r="C558" s="18"/>
      <c r="D558" s="20"/>
      <c r="E558" s="19"/>
      <c r="F558" s="1"/>
      <c r="G558" s="121"/>
      <c r="H558" s="1"/>
      <c r="I558" s="1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1.25" customHeight="1" x14ac:dyDescent="0.3">
      <c r="A559" s="2"/>
      <c r="B559" s="19"/>
      <c r="C559" s="18"/>
      <c r="D559" s="20"/>
      <c r="E559" s="19"/>
      <c r="F559" s="1"/>
      <c r="G559" s="121"/>
      <c r="H559" s="1"/>
      <c r="I559" s="1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1.25" customHeight="1" x14ac:dyDescent="0.3">
      <c r="A560" s="2"/>
      <c r="B560" s="19"/>
      <c r="C560" s="18"/>
      <c r="D560" s="20"/>
      <c r="E560" s="19"/>
      <c r="F560" s="1"/>
      <c r="G560" s="121"/>
      <c r="H560" s="1"/>
      <c r="I560" s="1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1.25" customHeight="1" x14ac:dyDescent="0.3">
      <c r="A561" s="2"/>
      <c r="B561" s="19"/>
      <c r="C561" s="18"/>
      <c r="D561" s="20"/>
      <c r="E561" s="19"/>
      <c r="F561" s="1"/>
      <c r="G561" s="121"/>
      <c r="H561" s="1"/>
      <c r="I561" s="1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1.25" customHeight="1" x14ac:dyDescent="0.3">
      <c r="A562" s="2"/>
      <c r="B562" s="19"/>
      <c r="C562" s="18"/>
      <c r="D562" s="20"/>
      <c r="E562" s="19"/>
      <c r="F562" s="1"/>
      <c r="G562" s="121"/>
      <c r="H562" s="1"/>
      <c r="I562" s="1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1.25" customHeight="1" x14ac:dyDescent="0.3">
      <c r="A563" s="2"/>
      <c r="B563" s="19"/>
      <c r="C563" s="18"/>
      <c r="D563" s="20"/>
      <c r="E563" s="19"/>
      <c r="F563" s="1"/>
      <c r="G563" s="121"/>
      <c r="H563" s="1"/>
      <c r="I563" s="1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1.25" customHeight="1" x14ac:dyDescent="0.3">
      <c r="A564" s="2"/>
      <c r="B564" s="19"/>
      <c r="C564" s="18"/>
      <c r="D564" s="20"/>
      <c r="E564" s="19"/>
      <c r="F564" s="1"/>
      <c r="G564" s="121"/>
      <c r="H564" s="1"/>
      <c r="I564" s="1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1.25" customHeight="1" x14ac:dyDescent="0.3">
      <c r="A565" s="2"/>
      <c r="B565" s="19"/>
      <c r="C565" s="18"/>
      <c r="D565" s="20"/>
      <c r="E565" s="19"/>
      <c r="F565" s="1"/>
      <c r="G565" s="121"/>
      <c r="H565" s="1"/>
      <c r="I565" s="1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1.25" customHeight="1" x14ac:dyDescent="0.3">
      <c r="A566" s="2"/>
      <c r="B566" s="19"/>
      <c r="C566" s="18"/>
      <c r="D566" s="20"/>
      <c r="E566" s="19"/>
      <c r="F566" s="1"/>
      <c r="G566" s="121"/>
      <c r="H566" s="1"/>
      <c r="I566" s="1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1.25" customHeight="1" x14ac:dyDescent="0.3">
      <c r="A567" s="2"/>
      <c r="B567" s="19"/>
      <c r="C567" s="18"/>
      <c r="D567" s="20"/>
      <c r="E567" s="19"/>
      <c r="F567" s="1"/>
      <c r="G567" s="121"/>
      <c r="H567" s="1"/>
      <c r="I567" s="1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1.25" customHeight="1" x14ac:dyDescent="0.3">
      <c r="A568" s="2"/>
      <c r="B568" s="19"/>
      <c r="C568" s="18"/>
      <c r="D568" s="20"/>
      <c r="E568" s="19"/>
      <c r="F568" s="1"/>
      <c r="G568" s="121"/>
      <c r="H568" s="1"/>
      <c r="I568" s="1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1.25" customHeight="1" x14ac:dyDescent="0.3">
      <c r="A569" s="2"/>
      <c r="B569" s="19"/>
      <c r="C569" s="18"/>
      <c r="D569" s="20"/>
      <c r="E569" s="19"/>
      <c r="F569" s="1"/>
      <c r="G569" s="121"/>
      <c r="H569" s="1"/>
      <c r="I569" s="1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1.25" customHeight="1" x14ac:dyDescent="0.3">
      <c r="A570" s="2"/>
      <c r="B570" s="19"/>
      <c r="C570" s="18"/>
      <c r="D570" s="20"/>
      <c r="E570" s="19"/>
      <c r="F570" s="1"/>
      <c r="G570" s="121"/>
      <c r="H570" s="1"/>
      <c r="I570" s="1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1.25" customHeight="1" x14ac:dyDescent="0.3">
      <c r="A571" s="2"/>
      <c r="B571" s="19"/>
      <c r="C571" s="18"/>
      <c r="D571" s="20"/>
      <c r="E571" s="19"/>
      <c r="F571" s="1"/>
      <c r="G571" s="121"/>
      <c r="H571" s="1"/>
      <c r="I571" s="1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1.25" customHeight="1" x14ac:dyDescent="0.3">
      <c r="A572" s="2"/>
      <c r="B572" s="19"/>
      <c r="C572" s="18"/>
      <c r="D572" s="20"/>
      <c r="E572" s="19"/>
      <c r="F572" s="1"/>
      <c r="G572" s="121"/>
      <c r="H572" s="1"/>
      <c r="I572" s="1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1.25" customHeight="1" x14ac:dyDescent="0.3">
      <c r="A573" s="2"/>
      <c r="B573" s="19"/>
      <c r="C573" s="18"/>
      <c r="D573" s="20"/>
      <c r="E573" s="19"/>
      <c r="F573" s="1"/>
      <c r="G573" s="121"/>
      <c r="H573" s="1"/>
      <c r="I573" s="1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1.25" customHeight="1" x14ac:dyDescent="0.3">
      <c r="A574" s="2"/>
      <c r="B574" s="19"/>
      <c r="C574" s="18"/>
      <c r="D574" s="20"/>
      <c r="E574" s="19"/>
      <c r="F574" s="1"/>
      <c r="G574" s="121"/>
      <c r="H574" s="1"/>
      <c r="I574" s="1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1.25" customHeight="1" x14ac:dyDescent="0.3">
      <c r="A575" s="2"/>
      <c r="B575" s="19"/>
      <c r="C575" s="18"/>
      <c r="D575" s="20"/>
      <c r="E575" s="19"/>
      <c r="F575" s="1"/>
      <c r="G575" s="121"/>
      <c r="H575" s="1"/>
      <c r="I575" s="1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1.25" customHeight="1" x14ac:dyDescent="0.3">
      <c r="A576" s="2"/>
      <c r="B576" s="19"/>
      <c r="C576" s="18"/>
      <c r="D576" s="20"/>
      <c r="E576" s="19"/>
      <c r="F576" s="1"/>
      <c r="G576" s="121"/>
      <c r="H576" s="1"/>
      <c r="I576" s="1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1.25" customHeight="1" x14ac:dyDescent="0.3">
      <c r="A577" s="2"/>
      <c r="B577" s="19"/>
      <c r="C577" s="18"/>
      <c r="D577" s="20"/>
      <c r="E577" s="19"/>
      <c r="F577" s="1"/>
      <c r="G577" s="121"/>
      <c r="H577" s="1"/>
      <c r="I577" s="1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1.25" customHeight="1" x14ac:dyDescent="0.3">
      <c r="A578" s="2"/>
      <c r="B578" s="19"/>
      <c r="C578" s="18"/>
      <c r="D578" s="20"/>
      <c r="E578" s="19"/>
      <c r="F578" s="1"/>
      <c r="G578" s="121"/>
      <c r="H578" s="1"/>
      <c r="I578" s="1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1.25" customHeight="1" x14ac:dyDescent="0.3">
      <c r="A579" s="2"/>
      <c r="B579" s="19"/>
      <c r="C579" s="18"/>
      <c r="D579" s="20"/>
      <c r="E579" s="19"/>
      <c r="F579" s="1"/>
      <c r="G579" s="121"/>
      <c r="H579" s="1"/>
      <c r="I579" s="1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1.25" customHeight="1" x14ac:dyDescent="0.3">
      <c r="A580" s="2"/>
      <c r="B580" s="19"/>
      <c r="C580" s="18"/>
      <c r="D580" s="20"/>
      <c r="E580" s="19"/>
      <c r="F580" s="1"/>
      <c r="G580" s="121"/>
      <c r="H580" s="1"/>
      <c r="I580" s="1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1.25" customHeight="1" x14ac:dyDescent="0.3">
      <c r="A581" s="2"/>
      <c r="B581" s="19"/>
      <c r="C581" s="18"/>
      <c r="D581" s="20"/>
      <c r="E581" s="19"/>
      <c r="F581" s="1"/>
      <c r="G581" s="121"/>
      <c r="H581" s="1"/>
      <c r="I581" s="1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1.25" customHeight="1" x14ac:dyDescent="0.3">
      <c r="A582" s="2"/>
      <c r="B582" s="19"/>
      <c r="C582" s="18"/>
      <c r="D582" s="20"/>
      <c r="E582" s="19"/>
      <c r="F582" s="1"/>
      <c r="G582" s="121"/>
      <c r="H582" s="1"/>
      <c r="I582" s="1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1.25" customHeight="1" x14ac:dyDescent="0.3">
      <c r="A583" s="2"/>
      <c r="B583" s="19"/>
      <c r="C583" s="18"/>
      <c r="D583" s="20"/>
      <c r="E583" s="19"/>
      <c r="F583" s="1"/>
      <c r="G583" s="121"/>
      <c r="H583" s="1"/>
      <c r="I583" s="1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1.25" customHeight="1" x14ac:dyDescent="0.3">
      <c r="A584" s="2"/>
      <c r="B584" s="19"/>
      <c r="C584" s="18"/>
      <c r="D584" s="20"/>
      <c r="E584" s="19"/>
      <c r="F584" s="1"/>
      <c r="G584" s="121"/>
      <c r="H584" s="1"/>
      <c r="I584" s="1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1.25" customHeight="1" x14ac:dyDescent="0.3">
      <c r="A585" s="2"/>
      <c r="B585" s="19"/>
      <c r="C585" s="18"/>
      <c r="D585" s="20"/>
      <c r="E585" s="19"/>
      <c r="F585" s="1"/>
      <c r="G585" s="121"/>
      <c r="H585" s="1"/>
      <c r="I585" s="1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1.25" customHeight="1" x14ac:dyDescent="0.3">
      <c r="A586" s="2"/>
      <c r="B586" s="19"/>
      <c r="C586" s="18"/>
      <c r="D586" s="20"/>
      <c r="E586" s="19"/>
      <c r="F586" s="1"/>
      <c r="G586" s="121"/>
      <c r="H586" s="1"/>
      <c r="I586" s="1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1.25" customHeight="1" x14ac:dyDescent="0.3">
      <c r="A587" s="2"/>
      <c r="B587" s="19"/>
      <c r="C587" s="18"/>
      <c r="D587" s="20"/>
      <c r="E587" s="19"/>
      <c r="F587" s="1"/>
      <c r="G587" s="121"/>
      <c r="H587" s="1"/>
      <c r="I587" s="1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1.25" customHeight="1" x14ac:dyDescent="0.3">
      <c r="A588" s="2"/>
      <c r="B588" s="19"/>
      <c r="C588" s="18"/>
      <c r="D588" s="20"/>
      <c r="E588" s="19"/>
      <c r="F588" s="1"/>
      <c r="G588" s="121"/>
      <c r="H588" s="1"/>
      <c r="I588" s="1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1.25" customHeight="1" x14ac:dyDescent="0.3">
      <c r="A589" s="2"/>
      <c r="B589" s="19"/>
      <c r="C589" s="18"/>
      <c r="D589" s="20"/>
      <c r="E589" s="19"/>
      <c r="F589" s="1"/>
      <c r="G589" s="121"/>
      <c r="H589" s="1"/>
      <c r="I589" s="1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1.25" customHeight="1" x14ac:dyDescent="0.3">
      <c r="A590" s="2"/>
      <c r="B590" s="19"/>
      <c r="C590" s="18"/>
      <c r="D590" s="20"/>
      <c r="E590" s="19"/>
      <c r="F590" s="1"/>
      <c r="G590" s="121"/>
      <c r="H590" s="1"/>
      <c r="I590" s="1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1.25" customHeight="1" x14ac:dyDescent="0.3">
      <c r="A591" s="2"/>
      <c r="B591" s="19"/>
      <c r="C591" s="18"/>
      <c r="D591" s="20"/>
      <c r="E591" s="19"/>
      <c r="F591" s="1"/>
      <c r="G591" s="121"/>
      <c r="H591" s="1"/>
      <c r="I591" s="1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1.25" customHeight="1" x14ac:dyDescent="0.3">
      <c r="A592" s="2"/>
      <c r="B592" s="19"/>
      <c r="C592" s="18"/>
      <c r="D592" s="20"/>
      <c r="E592" s="19"/>
      <c r="F592" s="1"/>
      <c r="G592" s="121"/>
      <c r="H592" s="1"/>
      <c r="I592" s="1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1.25" customHeight="1" x14ac:dyDescent="0.3">
      <c r="A593" s="2"/>
      <c r="B593" s="19"/>
      <c r="C593" s="18"/>
      <c r="D593" s="20"/>
      <c r="E593" s="19"/>
      <c r="F593" s="1"/>
      <c r="G593" s="121"/>
      <c r="H593" s="1"/>
      <c r="I593" s="1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1.25" customHeight="1" x14ac:dyDescent="0.3">
      <c r="A594" s="2"/>
      <c r="B594" s="19"/>
      <c r="C594" s="18"/>
      <c r="D594" s="20"/>
      <c r="E594" s="19"/>
      <c r="F594" s="1"/>
      <c r="G594" s="121"/>
      <c r="H594" s="1"/>
      <c r="I594" s="1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1.25" customHeight="1" x14ac:dyDescent="0.3">
      <c r="A595" s="2"/>
      <c r="B595" s="19"/>
      <c r="C595" s="18"/>
      <c r="D595" s="20"/>
      <c r="E595" s="19"/>
      <c r="F595" s="1"/>
      <c r="G595" s="121"/>
      <c r="H595" s="1"/>
      <c r="I595" s="1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1.25" customHeight="1" x14ac:dyDescent="0.3">
      <c r="A596" s="2"/>
      <c r="B596" s="19"/>
      <c r="C596" s="18"/>
      <c r="D596" s="20"/>
      <c r="E596" s="19"/>
      <c r="F596" s="1"/>
      <c r="G596" s="121"/>
      <c r="H596" s="1"/>
      <c r="I596" s="1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1.25" customHeight="1" x14ac:dyDescent="0.3">
      <c r="A597" s="2"/>
      <c r="B597" s="19"/>
      <c r="C597" s="18"/>
      <c r="D597" s="20"/>
      <c r="E597" s="19"/>
      <c r="F597" s="1"/>
      <c r="G597" s="121"/>
      <c r="H597" s="1"/>
      <c r="I597" s="1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1.25" customHeight="1" x14ac:dyDescent="0.3">
      <c r="A598" s="2"/>
      <c r="B598" s="19"/>
      <c r="C598" s="18"/>
      <c r="D598" s="20"/>
      <c r="E598" s="19"/>
      <c r="F598" s="1"/>
      <c r="G598" s="121"/>
      <c r="H598" s="1"/>
      <c r="I598" s="1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1.25" customHeight="1" x14ac:dyDescent="0.3">
      <c r="A599" s="2"/>
      <c r="B599" s="19"/>
      <c r="C599" s="18"/>
      <c r="D599" s="20"/>
      <c r="E599" s="19"/>
      <c r="F599" s="1"/>
      <c r="G599" s="121"/>
      <c r="H599" s="1"/>
      <c r="I599" s="1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1.25" customHeight="1" x14ac:dyDescent="0.3">
      <c r="A600" s="2"/>
      <c r="B600" s="19"/>
      <c r="C600" s="18"/>
      <c r="D600" s="20"/>
      <c r="E600" s="19"/>
      <c r="F600" s="1"/>
      <c r="G600" s="121"/>
      <c r="H600" s="1"/>
      <c r="I600" s="1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1.25" customHeight="1" x14ac:dyDescent="0.3">
      <c r="A601" s="2"/>
      <c r="B601" s="19"/>
      <c r="C601" s="18"/>
      <c r="D601" s="20"/>
      <c r="E601" s="19"/>
      <c r="F601" s="1"/>
      <c r="G601" s="121"/>
      <c r="H601" s="1"/>
      <c r="I601" s="1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1.25" customHeight="1" x14ac:dyDescent="0.3">
      <c r="A602" s="2"/>
      <c r="B602" s="19"/>
      <c r="C602" s="18"/>
      <c r="D602" s="20"/>
      <c r="E602" s="19"/>
      <c r="F602" s="1"/>
      <c r="G602" s="121"/>
      <c r="H602" s="1"/>
      <c r="I602" s="1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1.25" customHeight="1" x14ac:dyDescent="0.3">
      <c r="A603" s="2"/>
      <c r="B603" s="19"/>
      <c r="C603" s="18"/>
      <c r="D603" s="20"/>
      <c r="E603" s="19"/>
      <c r="F603" s="1"/>
      <c r="G603" s="121"/>
      <c r="H603" s="1"/>
      <c r="I603" s="1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1.25" customHeight="1" x14ac:dyDescent="0.3">
      <c r="A604" s="2"/>
      <c r="B604" s="19"/>
      <c r="C604" s="18"/>
      <c r="D604" s="20"/>
      <c r="E604" s="19"/>
      <c r="F604" s="1"/>
      <c r="G604" s="121"/>
      <c r="H604" s="1"/>
      <c r="I604" s="1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1.25" customHeight="1" x14ac:dyDescent="0.3">
      <c r="A605" s="2"/>
      <c r="B605" s="19"/>
      <c r="C605" s="18"/>
      <c r="D605" s="20"/>
      <c r="E605" s="19"/>
      <c r="F605" s="1"/>
      <c r="G605" s="121"/>
      <c r="H605" s="1"/>
      <c r="I605" s="1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1.25" customHeight="1" x14ac:dyDescent="0.3">
      <c r="A606" s="2"/>
      <c r="B606" s="19"/>
      <c r="C606" s="18"/>
      <c r="D606" s="20"/>
      <c r="E606" s="19"/>
      <c r="F606" s="1"/>
      <c r="G606" s="121"/>
      <c r="H606" s="1"/>
      <c r="I606" s="1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1.25" customHeight="1" x14ac:dyDescent="0.3">
      <c r="A607" s="2"/>
      <c r="B607" s="19"/>
      <c r="C607" s="18"/>
      <c r="D607" s="20"/>
      <c r="E607" s="19"/>
      <c r="F607" s="1"/>
      <c r="G607" s="121"/>
      <c r="H607" s="1"/>
      <c r="I607" s="1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1.25" customHeight="1" x14ac:dyDescent="0.3">
      <c r="A608" s="2"/>
      <c r="B608" s="19"/>
      <c r="C608" s="18"/>
      <c r="D608" s="20"/>
      <c r="E608" s="19"/>
      <c r="F608" s="1"/>
      <c r="G608" s="121"/>
      <c r="H608" s="1"/>
      <c r="I608" s="1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1.25" customHeight="1" x14ac:dyDescent="0.3">
      <c r="A609" s="2"/>
      <c r="B609" s="19"/>
      <c r="C609" s="18"/>
      <c r="D609" s="20"/>
      <c r="E609" s="19"/>
      <c r="F609" s="1"/>
      <c r="G609" s="121"/>
      <c r="H609" s="1"/>
      <c r="I609" s="1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1.25" customHeight="1" x14ac:dyDescent="0.3">
      <c r="A610" s="2"/>
      <c r="B610" s="19"/>
      <c r="C610" s="18"/>
      <c r="D610" s="20"/>
      <c r="E610" s="19"/>
      <c r="F610" s="1"/>
      <c r="G610" s="121"/>
      <c r="H610" s="1"/>
      <c r="I610" s="1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1.25" customHeight="1" x14ac:dyDescent="0.3">
      <c r="A611" s="2"/>
      <c r="B611" s="19"/>
      <c r="C611" s="18"/>
      <c r="D611" s="20"/>
      <c r="E611" s="19"/>
      <c r="F611" s="1"/>
      <c r="G611" s="121"/>
      <c r="H611" s="1"/>
      <c r="I611" s="1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1.25" customHeight="1" x14ac:dyDescent="0.3">
      <c r="A612" s="2"/>
      <c r="B612" s="19"/>
      <c r="C612" s="18"/>
      <c r="D612" s="20"/>
      <c r="E612" s="19"/>
      <c r="F612" s="1"/>
      <c r="G612" s="121"/>
      <c r="H612" s="1"/>
      <c r="I612" s="1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1.25" customHeight="1" x14ac:dyDescent="0.3">
      <c r="A613" s="2"/>
      <c r="B613" s="19"/>
      <c r="C613" s="18"/>
      <c r="D613" s="20"/>
      <c r="E613" s="19"/>
      <c r="F613" s="1"/>
      <c r="G613" s="121"/>
      <c r="H613" s="1"/>
      <c r="I613" s="1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1.25" customHeight="1" x14ac:dyDescent="0.3">
      <c r="A614" s="2"/>
      <c r="B614" s="19"/>
      <c r="C614" s="18"/>
      <c r="D614" s="20"/>
      <c r="E614" s="19"/>
      <c r="F614" s="1"/>
      <c r="G614" s="121"/>
      <c r="H614" s="1"/>
      <c r="I614" s="1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1.25" customHeight="1" x14ac:dyDescent="0.3">
      <c r="A615" s="2"/>
      <c r="B615" s="19"/>
      <c r="C615" s="18"/>
      <c r="D615" s="20"/>
      <c r="E615" s="19"/>
      <c r="F615" s="1"/>
      <c r="G615" s="121"/>
      <c r="H615" s="1"/>
      <c r="I615" s="1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1.25" customHeight="1" x14ac:dyDescent="0.3">
      <c r="A616" s="2"/>
      <c r="B616" s="19"/>
      <c r="C616" s="18"/>
      <c r="D616" s="20"/>
      <c r="E616" s="19"/>
      <c r="F616" s="1"/>
      <c r="G616" s="121"/>
      <c r="H616" s="1"/>
      <c r="I616" s="1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1.25" customHeight="1" x14ac:dyDescent="0.3">
      <c r="A617" s="2"/>
      <c r="B617" s="19"/>
      <c r="C617" s="18"/>
      <c r="D617" s="20"/>
      <c r="E617" s="19"/>
      <c r="F617" s="1"/>
      <c r="G617" s="121"/>
      <c r="H617" s="1"/>
      <c r="I617" s="1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1.25" customHeight="1" x14ac:dyDescent="0.3">
      <c r="A618" s="2"/>
      <c r="B618" s="19"/>
      <c r="C618" s="18"/>
      <c r="D618" s="20"/>
      <c r="E618" s="19"/>
      <c r="F618" s="1"/>
      <c r="G618" s="121"/>
      <c r="H618" s="1"/>
      <c r="I618" s="1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1.25" customHeight="1" x14ac:dyDescent="0.3">
      <c r="A619" s="2"/>
      <c r="B619" s="19"/>
      <c r="C619" s="18"/>
      <c r="D619" s="20"/>
      <c r="E619" s="19"/>
      <c r="F619" s="1"/>
      <c r="G619" s="121"/>
      <c r="H619" s="1"/>
      <c r="I619" s="1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1.25" customHeight="1" x14ac:dyDescent="0.3">
      <c r="A620" s="2"/>
      <c r="B620" s="19"/>
      <c r="C620" s="18"/>
      <c r="D620" s="20"/>
      <c r="E620" s="19"/>
      <c r="F620" s="1"/>
      <c r="G620" s="121"/>
      <c r="H620" s="1"/>
      <c r="I620" s="1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1.25" customHeight="1" x14ac:dyDescent="0.3">
      <c r="A621" s="2"/>
      <c r="B621" s="19"/>
      <c r="C621" s="18"/>
      <c r="D621" s="20"/>
      <c r="E621" s="19"/>
      <c r="F621" s="1"/>
      <c r="G621" s="121"/>
      <c r="H621" s="1"/>
      <c r="I621" s="1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1.25" customHeight="1" x14ac:dyDescent="0.3">
      <c r="A622" s="2"/>
      <c r="B622" s="19"/>
      <c r="C622" s="18"/>
      <c r="D622" s="20"/>
      <c r="E622" s="19"/>
      <c r="F622" s="1"/>
      <c r="G622" s="121"/>
      <c r="H622" s="1"/>
      <c r="I622" s="1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1.25" customHeight="1" x14ac:dyDescent="0.3">
      <c r="A623" s="2"/>
      <c r="B623" s="19"/>
      <c r="C623" s="18"/>
      <c r="D623" s="20"/>
      <c r="E623" s="19"/>
      <c r="F623" s="1"/>
      <c r="G623" s="121"/>
      <c r="H623" s="1"/>
      <c r="I623" s="1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1.25" customHeight="1" x14ac:dyDescent="0.3">
      <c r="A624" s="2"/>
      <c r="B624" s="19"/>
      <c r="C624" s="18"/>
      <c r="D624" s="20"/>
      <c r="E624" s="19"/>
      <c r="F624" s="1"/>
      <c r="G624" s="121"/>
      <c r="H624" s="1"/>
      <c r="I624" s="1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1.25" customHeight="1" x14ac:dyDescent="0.3">
      <c r="A625" s="2"/>
      <c r="B625" s="19"/>
      <c r="C625" s="18"/>
      <c r="D625" s="20"/>
      <c r="E625" s="19"/>
      <c r="F625" s="1"/>
      <c r="G625" s="121"/>
      <c r="H625" s="1"/>
      <c r="I625" s="1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1.25" customHeight="1" x14ac:dyDescent="0.3">
      <c r="A626" s="2"/>
      <c r="B626" s="19"/>
      <c r="C626" s="18"/>
      <c r="D626" s="20"/>
      <c r="E626" s="19"/>
      <c r="F626" s="1"/>
      <c r="G626" s="121"/>
      <c r="H626" s="1"/>
      <c r="I626" s="1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1.25" customHeight="1" x14ac:dyDescent="0.3">
      <c r="A627" s="2"/>
      <c r="B627" s="19"/>
      <c r="C627" s="18"/>
      <c r="D627" s="20"/>
      <c r="E627" s="19"/>
      <c r="F627" s="1"/>
      <c r="G627" s="121"/>
      <c r="H627" s="1"/>
      <c r="I627" s="1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1.25" customHeight="1" x14ac:dyDescent="0.3">
      <c r="A628" s="2"/>
      <c r="B628" s="19"/>
      <c r="C628" s="18"/>
      <c r="D628" s="20"/>
      <c r="E628" s="19"/>
      <c r="F628" s="1"/>
      <c r="G628" s="121"/>
      <c r="H628" s="1"/>
      <c r="I628" s="1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1.25" customHeight="1" x14ac:dyDescent="0.3">
      <c r="A629" s="2"/>
      <c r="B629" s="19"/>
      <c r="C629" s="18"/>
      <c r="D629" s="20"/>
      <c r="E629" s="19"/>
      <c r="F629" s="1"/>
      <c r="G629" s="121"/>
      <c r="H629" s="1"/>
      <c r="I629" s="1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1.25" customHeight="1" x14ac:dyDescent="0.3">
      <c r="A630" s="2"/>
      <c r="B630" s="19"/>
      <c r="C630" s="18"/>
      <c r="D630" s="20"/>
      <c r="E630" s="19"/>
      <c r="F630" s="1"/>
      <c r="G630" s="121"/>
      <c r="H630" s="1"/>
      <c r="I630" s="1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1.25" customHeight="1" x14ac:dyDescent="0.3">
      <c r="A631" s="2"/>
      <c r="B631" s="19"/>
      <c r="C631" s="18"/>
      <c r="D631" s="20"/>
      <c r="E631" s="19"/>
      <c r="F631" s="1"/>
      <c r="G631" s="121"/>
      <c r="H631" s="1"/>
      <c r="I631" s="1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1.25" customHeight="1" x14ac:dyDescent="0.3">
      <c r="A632" s="2"/>
      <c r="B632" s="19"/>
      <c r="C632" s="18"/>
      <c r="D632" s="20"/>
      <c r="E632" s="19"/>
      <c r="F632" s="1"/>
      <c r="G632" s="121"/>
      <c r="H632" s="1"/>
      <c r="I632" s="1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1.25" customHeight="1" x14ac:dyDescent="0.3">
      <c r="A633" s="2"/>
      <c r="B633" s="19"/>
      <c r="C633" s="18"/>
      <c r="D633" s="20"/>
      <c r="E633" s="19"/>
      <c r="F633" s="1"/>
      <c r="G633" s="121"/>
      <c r="H633" s="1"/>
      <c r="I633" s="1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1.25" customHeight="1" x14ac:dyDescent="0.3">
      <c r="A634" s="2"/>
      <c r="B634" s="19"/>
      <c r="C634" s="18"/>
      <c r="D634" s="20"/>
      <c r="E634" s="19"/>
      <c r="F634" s="1"/>
      <c r="G634" s="121"/>
      <c r="H634" s="1"/>
      <c r="I634" s="1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1.25" customHeight="1" x14ac:dyDescent="0.3">
      <c r="A635" s="2"/>
      <c r="B635" s="19"/>
      <c r="C635" s="18"/>
      <c r="D635" s="20"/>
      <c r="E635" s="19"/>
      <c r="F635" s="1"/>
      <c r="G635" s="121"/>
      <c r="H635" s="1"/>
      <c r="I635" s="1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1.25" customHeight="1" x14ac:dyDescent="0.3">
      <c r="A636" s="2"/>
      <c r="B636" s="19"/>
      <c r="C636" s="18"/>
      <c r="D636" s="20"/>
      <c r="E636" s="19"/>
      <c r="F636" s="1"/>
      <c r="G636" s="121"/>
      <c r="H636" s="1"/>
      <c r="I636" s="1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1.25" customHeight="1" x14ac:dyDescent="0.3">
      <c r="A637" s="2"/>
      <c r="B637" s="19"/>
      <c r="C637" s="18"/>
      <c r="D637" s="20"/>
      <c r="E637" s="19"/>
      <c r="F637" s="1"/>
      <c r="G637" s="121"/>
      <c r="H637" s="1"/>
      <c r="I637" s="1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1.25" customHeight="1" x14ac:dyDescent="0.3">
      <c r="A638" s="2"/>
      <c r="B638" s="19"/>
      <c r="C638" s="18"/>
      <c r="D638" s="20"/>
      <c r="E638" s="19"/>
      <c r="F638" s="1"/>
      <c r="G638" s="121"/>
      <c r="H638" s="1"/>
      <c r="I638" s="1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1.25" customHeight="1" x14ac:dyDescent="0.3">
      <c r="A639" s="2"/>
      <c r="B639" s="19"/>
      <c r="C639" s="18"/>
      <c r="D639" s="20"/>
      <c r="E639" s="19"/>
      <c r="F639" s="1"/>
      <c r="G639" s="121"/>
      <c r="H639" s="1"/>
      <c r="I639" s="1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1.25" customHeight="1" x14ac:dyDescent="0.3">
      <c r="A640" s="2"/>
      <c r="B640" s="19"/>
      <c r="C640" s="18"/>
      <c r="D640" s="20"/>
      <c r="E640" s="19"/>
      <c r="F640" s="1"/>
      <c r="G640" s="121"/>
      <c r="H640" s="1"/>
      <c r="I640" s="1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1.25" customHeight="1" x14ac:dyDescent="0.3">
      <c r="A641" s="2"/>
      <c r="B641" s="19"/>
      <c r="C641" s="18"/>
      <c r="D641" s="20"/>
      <c r="E641" s="19"/>
      <c r="F641" s="1"/>
      <c r="G641" s="121"/>
      <c r="H641" s="1"/>
      <c r="I641" s="1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1.25" customHeight="1" x14ac:dyDescent="0.3">
      <c r="A642" s="2"/>
      <c r="B642" s="19"/>
      <c r="C642" s="18"/>
      <c r="D642" s="20"/>
      <c r="E642" s="19"/>
      <c r="F642" s="1"/>
      <c r="G642" s="121"/>
      <c r="H642" s="1"/>
      <c r="I642" s="1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1.25" customHeight="1" x14ac:dyDescent="0.3">
      <c r="A643" s="2"/>
      <c r="B643" s="19"/>
      <c r="C643" s="18"/>
      <c r="D643" s="20"/>
      <c r="E643" s="19"/>
      <c r="F643" s="1"/>
      <c r="G643" s="121"/>
      <c r="H643" s="1"/>
      <c r="I643" s="1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1.25" customHeight="1" x14ac:dyDescent="0.3">
      <c r="A644" s="2"/>
      <c r="B644" s="19"/>
      <c r="C644" s="18"/>
      <c r="D644" s="20"/>
      <c r="E644" s="19"/>
      <c r="F644" s="1"/>
      <c r="G644" s="121"/>
      <c r="H644" s="1"/>
      <c r="I644" s="1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1.25" customHeight="1" x14ac:dyDescent="0.3">
      <c r="A645" s="2"/>
      <c r="B645" s="19"/>
      <c r="C645" s="18"/>
      <c r="D645" s="20"/>
      <c r="E645" s="19"/>
      <c r="F645" s="1"/>
      <c r="G645" s="121"/>
      <c r="H645" s="1"/>
      <c r="I645" s="1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1.25" customHeight="1" x14ac:dyDescent="0.3">
      <c r="A646" s="2"/>
      <c r="B646" s="19"/>
      <c r="C646" s="18"/>
      <c r="D646" s="20"/>
      <c r="E646" s="19"/>
      <c r="F646" s="1"/>
      <c r="G646" s="121"/>
      <c r="H646" s="1"/>
      <c r="I646" s="1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1.25" customHeight="1" x14ac:dyDescent="0.3">
      <c r="A647" s="2"/>
      <c r="B647" s="19"/>
      <c r="C647" s="18"/>
      <c r="D647" s="20"/>
      <c r="E647" s="19"/>
      <c r="F647" s="1"/>
      <c r="G647" s="121"/>
      <c r="H647" s="1"/>
      <c r="I647" s="1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1.25" customHeight="1" x14ac:dyDescent="0.3">
      <c r="A648" s="2"/>
      <c r="B648" s="19"/>
      <c r="C648" s="18"/>
      <c r="D648" s="20"/>
      <c r="E648" s="19"/>
      <c r="F648" s="1"/>
      <c r="G648" s="121"/>
      <c r="H648" s="1"/>
      <c r="I648" s="1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1.25" customHeight="1" x14ac:dyDescent="0.3">
      <c r="A649" s="2"/>
      <c r="B649" s="19"/>
      <c r="C649" s="18"/>
      <c r="D649" s="20"/>
      <c r="E649" s="19"/>
      <c r="F649" s="1"/>
      <c r="G649" s="121"/>
      <c r="H649" s="1"/>
      <c r="I649" s="1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1.25" customHeight="1" x14ac:dyDescent="0.3">
      <c r="A650" s="2"/>
      <c r="B650" s="19"/>
      <c r="C650" s="18"/>
      <c r="D650" s="20"/>
      <c r="E650" s="19"/>
      <c r="F650" s="1"/>
      <c r="G650" s="121"/>
      <c r="H650" s="1"/>
      <c r="I650" s="1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1.25" customHeight="1" x14ac:dyDescent="0.3">
      <c r="A651" s="2"/>
      <c r="B651" s="19"/>
      <c r="C651" s="18"/>
      <c r="D651" s="20"/>
      <c r="E651" s="19"/>
      <c r="F651" s="1"/>
      <c r="G651" s="121"/>
      <c r="H651" s="1"/>
      <c r="I651" s="1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1.25" customHeight="1" x14ac:dyDescent="0.3">
      <c r="A652" s="2"/>
      <c r="B652" s="19"/>
      <c r="C652" s="18"/>
      <c r="D652" s="20"/>
      <c r="E652" s="19"/>
      <c r="F652" s="1"/>
      <c r="G652" s="121"/>
      <c r="H652" s="1"/>
      <c r="I652" s="1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1.25" customHeight="1" x14ac:dyDescent="0.3">
      <c r="A653" s="2"/>
      <c r="B653" s="19"/>
      <c r="C653" s="18"/>
      <c r="D653" s="20"/>
      <c r="E653" s="19"/>
      <c r="F653" s="1"/>
      <c r="G653" s="121"/>
      <c r="H653" s="1"/>
      <c r="I653" s="1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1.25" customHeight="1" x14ac:dyDescent="0.3">
      <c r="A654" s="2"/>
      <c r="B654" s="19"/>
      <c r="C654" s="18"/>
      <c r="D654" s="20"/>
      <c r="E654" s="19"/>
      <c r="F654" s="1"/>
      <c r="G654" s="121"/>
      <c r="H654" s="1"/>
      <c r="I654" s="1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1.25" customHeight="1" x14ac:dyDescent="0.3">
      <c r="A655" s="2"/>
      <c r="B655" s="19"/>
      <c r="C655" s="18"/>
      <c r="D655" s="20"/>
      <c r="E655" s="19"/>
      <c r="F655" s="1"/>
      <c r="G655" s="121"/>
      <c r="H655" s="1"/>
      <c r="I655" s="1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1.25" customHeight="1" x14ac:dyDescent="0.3">
      <c r="A656" s="2"/>
      <c r="B656" s="19"/>
      <c r="C656" s="18"/>
      <c r="D656" s="20"/>
      <c r="E656" s="19"/>
      <c r="F656" s="1"/>
      <c r="G656" s="121"/>
      <c r="H656" s="1"/>
      <c r="I656" s="1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1.25" customHeight="1" x14ac:dyDescent="0.3">
      <c r="A657" s="2"/>
      <c r="B657" s="19"/>
      <c r="C657" s="18"/>
      <c r="D657" s="20"/>
      <c r="E657" s="19"/>
      <c r="F657" s="1"/>
      <c r="G657" s="121"/>
      <c r="H657" s="1"/>
      <c r="I657" s="1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1.25" customHeight="1" x14ac:dyDescent="0.3">
      <c r="A658" s="2"/>
      <c r="B658" s="19"/>
      <c r="C658" s="18"/>
      <c r="D658" s="20"/>
      <c r="E658" s="19"/>
      <c r="F658" s="1"/>
      <c r="G658" s="121"/>
      <c r="H658" s="1"/>
      <c r="I658" s="1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1.25" customHeight="1" x14ac:dyDescent="0.3">
      <c r="A659" s="2"/>
      <c r="B659" s="19"/>
      <c r="C659" s="18"/>
      <c r="D659" s="20"/>
      <c r="E659" s="19"/>
      <c r="F659" s="1"/>
      <c r="G659" s="121"/>
      <c r="H659" s="1"/>
      <c r="I659" s="1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1.25" customHeight="1" x14ac:dyDescent="0.3">
      <c r="A660" s="2"/>
      <c r="B660" s="19"/>
      <c r="C660" s="18"/>
      <c r="D660" s="20"/>
      <c r="E660" s="19"/>
      <c r="F660" s="1"/>
      <c r="G660" s="121"/>
      <c r="H660" s="1"/>
      <c r="I660" s="1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1.25" customHeight="1" x14ac:dyDescent="0.3">
      <c r="A661" s="2"/>
      <c r="B661" s="19"/>
      <c r="C661" s="18"/>
      <c r="D661" s="20"/>
      <c r="E661" s="19"/>
      <c r="F661" s="1"/>
      <c r="G661" s="121"/>
      <c r="H661" s="1"/>
      <c r="I661" s="1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1.25" customHeight="1" x14ac:dyDescent="0.3">
      <c r="A662" s="2"/>
      <c r="B662" s="19"/>
      <c r="C662" s="18"/>
      <c r="D662" s="20"/>
      <c r="E662" s="19"/>
      <c r="F662" s="1"/>
      <c r="G662" s="121"/>
      <c r="H662" s="1"/>
      <c r="I662" s="1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1.25" customHeight="1" x14ac:dyDescent="0.3">
      <c r="A663" s="2"/>
      <c r="B663" s="19"/>
      <c r="C663" s="18"/>
      <c r="D663" s="20"/>
      <c r="E663" s="19"/>
      <c r="F663" s="1"/>
      <c r="G663" s="121"/>
      <c r="H663" s="1"/>
      <c r="I663" s="1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1.25" customHeight="1" x14ac:dyDescent="0.3">
      <c r="A664" s="2"/>
      <c r="B664" s="19"/>
      <c r="C664" s="18"/>
      <c r="D664" s="20"/>
      <c r="E664" s="19"/>
      <c r="F664" s="1"/>
      <c r="G664" s="121"/>
      <c r="H664" s="1"/>
      <c r="I664" s="1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1.25" customHeight="1" x14ac:dyDescent="0.3">
      <c r="A665" s="2"/>
      <c r="B665" s="19"/>
      <c r="C665" s="18"/>
      <c r="D665" s="20"/>
      <c r="E665" s="19"/>
      <c r="F665" s="1"/>
      <c r="G665" s="121"/>
      <c r="H665" s="1"/>
      <c r="I665" s="1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1.25" customHeight="1" x14ac:dyDescent="0.3">
      <c r="A666" s="2"/>
      <c r="B666" s="19"/>
      <c r="C666" s="18"/>
      <c r="D666" s="20"/>
      <c r="E666" s="19"/>
      <c r="F666" s="1"/>
      <c r="G666" s="121"/>
      <c r="H666" s="1"/>
      <c r="I666" s="1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1.25" customHeight="1" x14ac:dyDescent="0.3">
      <c r="A667" s="2"/>
      <c r="B667" s="19"/>
      <c r="C667" s="18"/>
      <c r="D667" s="20"/>
      <c r="E667" s="19"/>
      <c r="F667" s="1"/>
      <c r="G667" s="121"/>
      <c r="H667" s="1"/>
      <c r="I667" s="1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1.25" customHeight="1" x14ac:dyDescent="0.3">
      <c r="A668" s="2"/>
      <c r="B668" s="19"/>
      <c r="C668" s="18"/>
      <c r="D668" s="20"/>
      <c r="E668" s="19"/>
      <c r="F668" s="1"/>
      <c r="G668" s="121"/>
      <c r="H668" s="1"/>
      <c r="I668" s="1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1.25" customHeight="1" x14ac:dyDescent="0.3">
      <c r="A669" s="2"/>
      <c r="B669" s="19"/>
      <c r="C669" s="18"/>
      <c r="D669" s="20"/>
      <c r="E669" s="19"/>
      <c r="F669" s="1"/>
      <c r="G669" s="121"/>
      <c r="H669" s="1"/>
      <c r="I669" s="1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1.25" customHeight="1" x14ac:dyDescent="0.3">
      <c r="A670" s="2"/>
      <c r="B670" s="19"/>
      <c r="C670" s="18"/>
      <c r="D670" s="20"/>
      <c r="E670" s="19"/>
      <c r="F670" s="1"/>
      <c r="G670" s="121"/>
      <c r="H670" s="1"/>
      <c r="I670" s="1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1.25" customHeight="1" x14ac:dyDescent="0.3">
      <c r="A671" s="2"/>
      <c r="B671" s="19"/>
      <c r="C671" s="18"/>
      <c r="D671" s="20"/>
      <c r="E671" s="19"/>
      <c r="F671" s="1"/>
      <c r="G671" s="121"/>
      <c r="H671" s="1"/>
      <c r="I671" s="1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1.25" customHeight="1" x14ac:dyDescent="0.3">
      <c r="A672" s="2"/>
      <c r="B672" s="19"/>
      <c r="C672" s="18"/>
      <c r="D672" s="20"/>
      <c r="E672" s="19"/>
      <c r="F672" s="1"/>
      <c r="G672" s="121"/>
      <c r="H672" s="1"/>
      <c r="I672" s="1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1.25" customHeight="1" x14ac:dyDescent="0.3">
      <c r="A673" s="2"/>
      <c r="B673" s="19"/>
      <c r="C673" s="18"/>
      <c r="D673" s="20"/>
      <c r="E673" s="19"/>
      <c r="F673" s="1"/>
      <c r="G673" s="121"/>
      <c r="H673" s="1"/>
      <c r="I673" s="1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1.25" customHeight="1" x14ac:dyDescent="0.3">
      <c r="A674" s="2"/>
      <c r="B674" s="19"/>
      <c r="C674" s="18"/>
      <c r="D674" s="20"/>
      <c r="E674" s="19"/>
      <c r="F674" s="1"/>
      <c r="G674" s="121"/>
      <c r="H674" s="1"/>
      <c r="I674" s="1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1.25" customHeight="1" x14ac:dyDescent="0.3">
      <c r="A675" s="2"/>
      <c r="B675" s="19"/>
      <c r="C675" s="18"/>
      <c r="D675" s="20"/>
      <c r="E675" s="19"/>
      <c r="F675" s="1"/>
      <c r="G675" s="121"/>
      <c r="H675" s="1"/>
      <c r="I675" s="1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1.25" customHeight="1" x14ac:dyDescent="0.3">
      <c r="A676" s="2"/>
      <c r="B676" s="19"/>
      <c r="C676" s="18"/>
      <c r="D676" s="20"/>
      <c r="E676" s="19"/>
      <c r="F676" s="1"/>
      <c r="G676" s="121"/>
      <c r="H676" s="1"/>
      <c r="I676" s="1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1.25" customHeight="1" x14ac:dyDescent="0.3">
      <c r="A677" s="2"/>
      <c r="B677" s="19"/>
      <c r="C677" s="18"/>
      <c r="D677" s="20"/>
      <c r="E677" s="19"/>
      <c r="F677" s="1"/>
      <c r="G677" s="121"/>
      <c r="H677" s="1"/>
      <c r="I677" s="1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1.25" customHeight="1" x14ac:dyDescent="0.3">
      <c r="A678" s="2"/>
      <c r="B678" s="19"/>
      <c r="C678" s="18"/>
      <c r="D678" s="20"/>
      <c r="E678" s="19"/>
      <c r="F678" s="1"/>
      <c r="G678" s="121"/>
      <c r="H678" s="1"/>
      <c r="I678" s="1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1.25" customHeight="1" x14ac:dyDescent="0.3">
      <c r="A679" s="2"/>
      <c r="B679" s="19"/>
      <c r="C679" s="18"/>
      <c r="D679" s="20"/>
      <c r="E679" s="19"/>
      <c r="F679" s="1"/>
      <c r="G679" s="121"/>
      <c r="H679" s="1"/>
      <c r="I679" s="1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1.25" customHeight="1" x14ac:dyDescent="0.3">
      <c r="A680" s="2"/>
      <c r="B680" s="19"/>
      <c r="C680" s="18"/>
      <c r="D680" s="20"/>
      <c r="E680" s="19"/>
      <c r="F680" s="1"/>
      <c r="G680" s="121"/>
      <c r="H680" s="1"/>
      <c r="I680" s="1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1.25" customHeight="1" x14ac:dyDescent="0.3">
      <c r="A681" s="2"/>
      <c r="B681" s="19"/>
      <c r="C681" s="18"/>
      <c r="D681" s="20"/>
      <c r="E681" s="19"/>
      <c r="F681" s="1"/>
      <c r="G681" s="121"/>
      <c r="H681" s="1"/>
      <c r="I681" s="1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1.25" customHeight="1" x14ac:dyDescent="0.3">
      <c r="A682" s="2"/>
      <c r="B682" s="19"/>
      <c r="C682" s="18"/>
      <c r="D682" s="20"/>
      <c r="E682" s="19"/>
      <c r="F682" s="1"/>
      <c r="G682" s="121"/>
      <c r="H682" s="1"/>
      <c r="I682" s="1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1.25" customHeight="1" x14ac:dyDescent="0.3">
      <c r="A683" s="2"/>
      <c r="B683" s="19"/>
      <c r="C683" s="18"/>
      <c r="D683" s="20"/>
      <c r="E683" s="19"/>
      <c r="F683" s="1"/>
      <c r="G683" s="121"/>
      <c r="H683" s="1"/>
      <c r="I683" s="1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1.25" customHeight="1" x14ac:dyDescent="0.3">
      <c r="A684" s="2"/>
      <c r="B684" s="19"/>
      <c r="C684" s="18"/>
      <c r="D684" s="20"/>
      <c r="E684" s="19"/>
      <c r="F684" s="1"/>
      <c r="G684" s="121"/>
      <c r="H684" s="1"/>
      <c r="I684" s="1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1.25" customHeight="1" x14ac:dyDescent="0.3">
      <c r="A685" s="2"/>
      <c r="B685" s="19"/>
      <c r="C685" s="18"/>
      <c r="D685" s="20"/>
      <c r="E685" s="19"/>
      <c r="F685" s="1"/>
      <c r="G685" s="121"/>
      <c r="H685" s="1"/>
      <c r="I685" s="1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1.25" customHeight="1" x14ac:dyDescent="0.3">
      <c r="A686" s="2"/>
      <c r="B686" s="19"/>
      <c r="C686" s="18"/>
      <c r="D686" s="20"/>
      <c r="E686" s="19"/>
      <c r="F686" s="1"/>
      <c r="G686" s="121"/>
      <c r="H686" s="1"/>
      <c r="I686" s="1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1.25" customHeight="1" x14ac:dyDescent="0.3">
      <c r="A687" s="2"/>
      <c r="B687" s="19"/>
      <c r="C687" s="18"/>
      <c r="D687" s="20"/>
      <c r="E687" s="19"/>
      <c r="F687" s="1"/>
      <c r="G687" s="121"/>
      <c r="H687" s="1"/>
      <c r="I687" s="1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1.25" customHeight="1" x14ac:dyDescent="0.3">
      <c r="A688" s="2"/>
      <c r="B688" s="19"/>
      <c r="C688" s="18"/>
      <c r="D688" s="20"/>
      <c r="E688" s="19"/>
      <c r="F688" s="1"/>
      <c r="G688" s="121"/>
      <c r="H688" s="1"/>
      <c r="I688" s="1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1.25" customHeight="1" x14ac:dyDescent="0.3">
      <c r="A689" s="2"/>
      <c r="B689" s="19"/>
      <c r="C689" s="18"/>
      <c r="D689" s="20"/>
      <c r="E689" s="19"/>
      <c r="F689" s="1"/>
      <c r="G689" s="121"/>
      <c r="H689" s="1"/>
      <c r="I689" s="1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1.25" customHeight="1" x14ac:dyDescent="0.3">
      <c r="A690" s="2"/>
      <c r="B690" s="19"/>
      <c r="C690" s="18"/>
      <c r="D690" s="20"/>
      <c r="E690" s="19"/>
      <c r="F690" s="1"/>
      <c r="G690" s="121"/>
      <c r="H690" s="1"/>
      <c r="I690" s="1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1.25" customHeight="1" x14ac:dyDescent="0.3">
      <c r="A691" s="2"/>
      <c r="B691" s="19"/>
      <c r="C691" s="18"/>
      <c r="D691" s="20"/>
      <c r="E691" s="19"/>
      <c r="F691" s="1"/>
      <c r="G691" s="121"/>
      <c r="H691" s="1"/>
      <c r="I691" s="1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1.25" customHeight="1" x14ac:dyDescent="0.3">
      <c r="A692" s="2"/>
      <c r="B692" s="19"/>
      <c r="C692" s="18"/>
      <c r="D692" s="20"/>
      <c r="E692" s="19"/>
      <c r="F692" s="1"/>
      <c r="G692" s="121"/>
      <c r="H692" s="1"/>
      <c r="I692" s="1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1.25" customHeight="1" x14ac:dyDescent="0.3">
      <c r="A693" s="2"/>
      <c r="B693" s="19"/>
      <c r="C693" s="18"/>
      <c r="D693" s="20"/>
      <c r="E693" s="19"/>
      <c r="F693" s="1"/>
      <c r="G693" s="121"/>
      <c r="H693" s="1"/>
      <c r="I693" s="1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1.25" customHeight="1" x14ac:dyDescent="0.3">
      <c r="A694" s="2"/>
      <c r="B694" s="19"/>
      <c r="C694" s="18"/>
      <c r="D694" s="20"/>
      <c r="E694" s="19"/>
      <c r="F694" s="1"/>
      <c r="G694" s="121"/>
      <c r="H694" s="1"/>
      <c r="I694" s="1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1.25" customHeight="1" x14ac:dyDescent="0.3">
      <c r="A695" s="2"/>
      <c r="B695" s="19"/>
      <c r="C695" s="18"/>
      <c r="D695" s="20"/>
      <c r="E695" s="19"/>
      <c r="F695" s="1"/>
      <c r="G695" s="121"/>
      <c r="H695" s="1"/>
      <c r="I695" s="1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1.25" customHeight="1" x14ac:dyDescent="0.3">
      <c r="A696" s="2"/>
      <c r="B696" s="19"/>
      <c r="C696" s="18"/>
      <c r="D696" s="20"/>
      <c r="E696" s="19"/>
      <c r="F696" s="1"/>
      <c r="G696" s="121"/>
      <c r="H696" s="1"/>
      <c r="I696" s="1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1.25" customHeight="1" x14ac:dyDescent="0.3">
      <c r="A697" s="2"/>
      <c r="B697" s="19"/>
      <c r="C697" s="18"/>
      <c r="D697" s="20"/>
      <c r="E697" s="19"/>
      <c r="F697" s="1"/>
      <c r="G697" s="121"/>
      <c r="H697" s="1"/>
      <c r="I697" s="1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1.25" customHeight="1" x14ac:dyDescent="0.3">
      <c r="A698" s="2"/>
      <c r="B698" s="19"/>
      <c r="C698" s="18"/>
      <c r="D698" s="20"/>
      <c r="E698" s="19"/>
      <c r="F698" s="1"/>
      <c r="G698" s="121"/>
      <c r="H698" s="1"/>
      <c r="I698" s="1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1.25" customHeight="1" x14ac:dyDescent="0.3">
      <c r="A699" s="2"/>
      <c r="B699" s="19"/>
      <c r="C699" s="18"/>
      <c r="D699" s="20"/>
      <c r="E699" s="19"/>
      <c r="F699" s="1"/>
      <c r="G699" s="121"/>
      <c r="H699" s="1"/>
      <c r="I699" s="1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1.25" customHeight="1" x14ac:dyDescent="0.3">
      <c r="A700" s="2"/>
      <c r="B700" s="19"/>
      <c r="C700" s="18"/>
      <c r="D700" s="20"/>
      <c r="E700" s="19"/>
      <c r="F700" s="1"/>
      <c r="G700" s="121"/>
      <c r="H700" s="1"/>
      <c r="I700" s="1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1.25" customHeight="1" x14ac:dyDescent="0.3">
      <c r="A701" s="2"/>
      <c r="B701" s="19"/>
      <c r="C701" s="18"/>
      <c r="D701" s="20"/>
      <c r="E701" s="19"/>
      <c r="F701" s="1"/>
      <c r="G701" s="121"/>
      <c r="H701" s="1"/>
      <c r="I701" s="1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1.25" customHeight="1" x14ac:dyDescent="0.3">
      <c r="A702" s="2"/>
      <c r="B702" s="19"/>
      <c r="C702" s="18"/>
      <c r="D702" s="20"/>
      <c r="E702" s="19"/>
      <c r="F702" s="1"/>
      <c r="G702" s="121"/>
      <c r="H702" s="1"/>
      <c r="I702" s="1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1.25" customHeight="1" x14ac:dyDescent="0.3">
      <c r="A703" s="2"/>
      <c r="B703" s="19"/>
      <c r="C703" s="18"/>
      <c r="D703" s="20"/>
      <c r="E703" s="19"/>
      <c r="F703" s="1"/>
      <c r="G703" s="121"/>
      <c r="H703" s="1"/>
      <c r="I703" s="1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1.25" customHeight="1" x14ac:dyDescent="0.3">
      <c r="A704" s="2"/>
      <c r="B704" s="19"/>
      <c r="C704" s="18"/>
      <c r="D704" s="20"/>
      <c r="E704" s="19"/>
      <c r="F704" s="1"/>
      <c r="G704" s="121"/>
      <c r="H704" s="1"/>
      <c r="I704" s="1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1.25" customHeight="1" x14ac:dyDescent="0.3">
      <c r="A705" s="2"/>
      <c r="B705" s="19"/>
      <c r="C705" s="18"/>
      <c r="D705" s="20"/>
      <c r="E705" s="19"/>
      <c r="F705" s="1"/>
      <c r="G705" s="121"/>
      <c r="H705" s="1"/>
      <c r="I705" s="1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1.25" customHeight="1" x14ac:dyDescent="0.3">
      <c r="A706" s="2"/>
      <c r="B706" s="19"/>
      <c r="C706" s="18"/>
      <c r="D706" s="20"/>
      <c r="E706" s="19"/>
      <c r="F706" s="1"/>
      <c r="G706" s="121"/>
      <c r="H706" s="1"/>
      <c r="I706" s="1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1.25" customHeight="1" x14ac:dyDescent="0.3">
      <c r="A707" s="2"/>
      <c r="B707" s="19"/>
      <c r="C707" s="18"/>
      <c r="D707" s="20"/>
      <c r="E707" s="19"/>
      <c r="F707" s="1"/>
      <c r="G707" s="121"/>
      <c r="H707" s="1"/>
      <c r="I707" s="1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1.25" customHeight="1" x14ac:dyDescent="0.3">
      <c r="A708" s="2"/>
      <c r="B708" s="19"/>
      <c r="C708" s="18"/>
      <c r="D708" s="20"/>
      <c r="E708" s="19"/>
      <c r="F708" s="1"/>
      <c r="G708" s="121"/>
      <c r="H708" s="1"/>
      <c r="I708" s="1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1.25" customHeight="1" x14ac:dyDescent="0.3">
      <c r="A709" s="2"/>
      <c r="B709" s="19"/>
      <c r="C709" s="18"/>
      <c r="D709" s="20"/>
      <c r="E709" s="19"/>
      <c r="F709" s="1"/>
      <c r="G709" s="121"/>
      <c r="H709" s="1"/>
      <c r="I709" s="1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1.25" customHeight="1" x14ac:dyDescent="0.3">
      <c r="A710" s="2"/>
      <c r="B710" s="19"/>
      <c r="C710" s="18"/>
      <c r="D710" s="20"/>
      <c r="E710" s="19"/>
      <c r="F710" s="1"/>
      <c r="G710" s="121"/>
      <c r="H710" s="1"/>
      <c r="I710" s="1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1.25" customHeight="1" x14ac:dyDescent="0.3">
      <c r="A711" s="2"/>
      <c r="B711" s="19"/>
      <c r="C711" s="18"/>
      <c r="D711" s="20"/>
      <c r="E711" s="19"/>
      <c r="F711" s="1"/>
      <c r="G711" s="121"/>
      <c r="H711" s="1"/>
      <c r="I711" s="1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1.25" customHeight="1" x14ac:dyDescent="0.3">
      <c r="A712" s="2"/>
      <c r="B712" s="19"/>
      <c r="C712" s="18"/>
      <c r="D712" s="20"/>
      <c r="E712" s="19"/>
      <c r="F712" s="1"/>
      <c r="G712" s="121"/>
      <c r="H712" s="1"/>
      <c r="I712" s="1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1.25" customHeight="1" x14ac:dyDescent="0.3">
      <c r="A713" s="2"/>
      <c r="B713" s="19"/>
      <c r="C713" s="18"/>
      <c r="D713" s="20"/>
      <c r="E713" s="19"/>
      <c r="F713" s="1"/>
      <c r="G713" s="121"/>
      <c r="H713" s="1"/>
      <c r="I713" s="1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1.25" customHeight="1" x14ac:dyDescent="0.3">
      <c r="A714" s="2"/>
      <c r="B714" s="19"/>
      <c r="C714" s="18"/>
      <c r="D714" s="20"/>
      <c r="E714" s="19"/>
      <c r="F714" s="1"/>
      <c r="G714" s="121"/>
      <c r="H714" s="1"/>
      <c r="I714" s="1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1.25" customHeight="1" x14ac:dyDescent="0.3">
      <c r="A715" s="2"/>
      <c r="B715" s="19"/>
      <c r="C715" s="18"/>
      <c r="D715" s="20"/>
      <c r="E715" s="19"/>
      <c r="F715" s="1"/>
      <c r="G715" s="121"/>
      <c r="H715" s="1"/>
      <c r="I715" s="1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1.25" customHeight="1" x14ac:dyDescent="0.3">
      <c r="A716" s="2"/>
      <c r="B716" s="19"/>
      <c r="C716" s="18"/>
      <c r="D716" s="20"/>
      <c r="E716" s="19"/>
      <c r="F716" s="1"/>
      <c r="G716" s="121"/>
      <c r="H716" s="1"/>
      <c r="I716" s="1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1.25" customHeight="1" x14ac:dyDescent="0.3">
      <c r="A717" s="2"/>
      <c r="B717" s="19"/>
      <c r="C717" s="18"/>
      <c r="D717" s="20"/>
      <c r="E717" s="19"/>
      <c r="F717" s="1"/>
      <c r="G717" s="121"/>
      <c r="H717" s="1"/>
      <c r="I717" s="1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1.25" customHeight="1" x14ac:dyDescent="0.3">
      <c r="A718" s="2"/>
      <c r="B718" s="19"/>
      <c r="C718" s="18"/>
      <c r="D718" s="20"/>
      <c r="E718" s="19"/>
      <c r="F718" s="1"/>
      <c r="G718" s="121"/>
      <c r="H718" s="1"/>
      <c r="I718" s="1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1.25" customHeight="1" x14ac:dyDescent="0.3">
      <c r="A719" s="2"/>
      <c r="B719" s="19"/>
      <c r="C719" s="18"/>
      <c r="D719" s="20"/>
      <c r="E719" s="19"/>
      <c r="F719" s="1"/>
      <c r="G719" s="121"/>
      <c r="H719" s="1"/>
      <c r="I719" s="1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1.25" customHeight="1" x14ac:dyDescent="0.3">
      <c r="A720" s="2"/>
      <c r="B720" s="19"/>
      <c r="C720" s="18"/>
      <c r="D720" s="20"/>
      <c r="E720" s="19"/>
      <c r="F720" s="1"/>
      <c r="G720" s="121"/>
      <c r="H720" s="1"/>
      <c r="I720" s="1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1.25" customHeight="1" x14ac:dyDescent="0.3">
      <c r="A721" s="2"/>
      <c r="B721" s="19"/>
      <c r="C721" s="18"/>
      <c r="D721" s="20"/>
      <c r="E721" s="19"/>
      <c r="F721" s="1"/>
      <c r="G721" s="121"/>
      <c r="H721" s="1"/>
      <c r="I721" s="1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1.25" customHeight="1" x14ac:dyDescent="0.3">
      <c r="A722" s="2"/>
      <c r="B722" s="19"/>
      <c r="C722" s="18"/>
      <c r="D722" s="20"/>
      <c r="E722" s="19"/>
      <c r="F722" s="1"/>
      <c r="G722" s="121"/>
      <c r="H722" s="1"/>
      <c r="I722" s="1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1.25" customHeight="1" x14ac:dyDescent="0.3">
      <c r="A723" s="2"/>
      <c r="B723" s="19"/>
      <c r="C723" s="18"/>
      <c r="D723" s="20"/>
      <c r="E723" s="19"/>
      <c r="F723" s="1"/>
      <c r="G723" s="121"/>
      <c r="H723" s="1"/>
      <c r="I723" s="1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1.25" customHeight="1" x14ac:dyDescent="0.3">
      <c r="A724" s="2"/>
      <c r="B724" s="19"/>
      <c r="C724" s="18"/>
      <c r="D724" s="20"/>
      <c r="E724" s="19"/>
      <c r="F724" s="1"/>
      <c r="G724" s="121"/>
      <c r="H724" s="1"/>
      <c r="I724" s="1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1.25" customHeight="1" x14ac:dyDescent="0.3">
      <c r="A725" s="2"/>
      <c r="B725" s="19"/>
      <c r="C725" s="18"/>
      <c r="D725" s="20"/>
      <c r="E725" s="19"/>
      <c r="F725" s="1"/>
      <c r="G725" s="121"/>
      <c r="H725" s="1"/>
      <c r="I725" s="1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1.25" customHeight="1" x14ac:dyDescent="0.3">
      <c r="A726" s="2"/>
      <c r="B726" s="19"/>
      <c r="C726" s="18"/>
      <c r="D726" s="20"/>
      <c r="E726" s="19"/>
      <c r="F726" s="1"/>
      <c r="G726" s="121"/>
      <c r="H726" s="1"/>
      <c r="I726" s="1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1.25" customHeight="1" x14ac:dyDescent="0.3">
      <c r="A727" s="2"/>
      <c r="B727" s="19"/>
      <c r="C727" s="18"/>
      <c r="D727" s="20"/>
      <c r="E727" s="19"/>
      <c r="F727" s="1"/>
      <c r="G727" s="121"/>
      <c r="H727" s="1"/>
      <c r="I727" s="1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1.25" customHeight="1" x14ac:dyDescent="0.3">
      <c r="A728" s="2"/>
      <c r="B728" s="19"/>
      <c r="C728" s="18"/>
      <c r="D728" s="20"/>
      <c r="E728" s="19"/>
      <c r="F728" s="1"/>
      <c r="G728" s="121"/>
      <c r="H728" s="1"/>
      <c r="I728" s="1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1.25" customHeight="1" x14ac:dyDescent="0.3">
      <c r="A729" s="2"/>
      <c r="B729" s="19"/>
      <c r="C729" s="18"/>
      <c r="D729" s="20"/>
      <c r="E729" s="19"/>
      <c r="F729" s="1"/>
      <c r="G729" s="121"/>
      <c r="H729" s="1"/>
      <c r="I729" s="1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1.25" customHeight="1" x14ac:dyDescent="0.3">
      <c r="A730" s="2"/>
      <c r="B730" s="19"/>
      <c r="C730" s="18"/>
      <c r="D730" s="20"/>
      <c r="E730" s="19"/>
      <c r="F730" s="1"/>
      <c r="G730" s="121"/>
      <c r="H730" s="1"/>
      <c r="I730" s="1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1.25" customHeight="1" x14ac:dyDescent="0.3">
      <c r="A731" s="2"/>
      <c r="B731" s="19"/>
      <c r="C731" s="18"/>
      <c r="D731" s="20"/>
      <c r="E731" s="19"/>
      <c r="F731" s="1"/>
      <c r="G731" s="121"/>
      <c r="H731" s="1"/>
      <c r="I731" s="1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1.25" customHeight="1" x14ac:dyDescent="0.3">
      <c r="A732" s="2"/>
      <c r="B732" s="19"/>
      <c r="C732" s="18"/>
      <c r="D732" s="20"/>
      <c r="E732" s="19"/>
      <c r="F732" s="1"/>
      <c r="G732" s="121"/>
      <c r="H732" s="1"/>
      <c r="I732" s="1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1.25" customHeight="1" x14ac:dyDescent="0.3">
      <c r="A733" s="2"/>
      <c r="B733" s="19"/>
      <c r="C733" s="18"/>
      <c r="D733" s="20"/>
      <c r="E733" s="19"/>
      <c r="F733" s="1"/>
      <c r="G733" s="121"/>
      <c r="H733" s="1"/>
      <c r="I733" s="1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1.25" customHeight="1" x14ac:dyDescent="0.3">
      <c r="A734" s="2"/>
      <c r="B734" s="19"/>
      <c r="C734" s="18"/>
      <c r="D734" s="20"/>
      <c r="E734" s="19"/>
      <c r="F734" s="1"/>
      <c r="G734" s="121"/>
      <c r="H734" s="1"/>
      <c r="I734" s="1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1.25" customHeight="1" x14ac:dyDescent="0.3">
      <c r="A735" s="2"/>
      <c r="B735" s="19"/>
      <c r="C735" s="18"/>
      <c r="D735" s="20"/>
      <c r="E735" s="19"/>
      <c r="F735" s="1"/>
      <c r="G735" s="121"/>
      <c r="H735" s="1"/>
      <c r="I735" s="1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1.25" customHeight="1" x14ac:dyDescent="0.3">
      <c r="A736" s="2"/>
      <c r="B736" s="19"/>
      <c r="C736" s="18"/>
      <c r="D736" s="20"/>
      <c r="E736" s="19"/>
      <c r="F736" s="1"/>
      <c r="G736" s="121"/>
      <c r="H736" s="1"/>
      <c r="I736" s="1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1.25" customHeight="1" x14ac:dyDescent="0.3">
      <c r="A737" s="2"/>
      <c r="B737" s="19"/>
      <c r="C737" s="18"/>
      <c r="D737" s="20"/>
      <c r="E737" s="19"/>
      <c r="F737" s="1"/>
      <c r="G737" s="121"/>
      <c r="H737" s="1"/>
      <c r="I737" s="1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1.25" customHeight="1" x14ac:dyDescent="0.3">
      <c r="A738" s="2"/>
      <c r="B738" s="19"/>
      <c r="C738" s="18"/>
      <c r="D738" s="20"/>
      <c r="E738" s="19"/>
      <c r="F738" s="1"/>
      <c r="G738" s="121"/>
      <c r="H738" s="1"/>
      <c r="I738" s="1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1.25" customHeight="1" x14ac:dyDescent="0.3">
      <c r="A739" s="2"/>
      <c r="B739" s="19"/>
      <c r="C739" s="18"/>
      <c r="D739" s="20"/>
      <c r="E739" s="19"/>
      <c r="F739" s="1"/>
      <c r="G739" s="121"/>
      <c r="H739" s="1"/>
      <c r="I739" s="1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1.25" customHeight="1" x14ac:dyDescent="0.3">
      <c r="A740" s="2"/>
      <c r="B740" s="19"/>
      <c r="C740" s="18"/>
      <c r="D740" s="20"/>
      <c r="E740" s="19"/>
      <c r="F740" s="1"/>
      <c r="G740" s="121"/>
      <c r="H740" s="1"/>
      <c r="I740" s="1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1.25" customHeight="1" x14ac:dyDescent="0.3">
      <c r="A741" s="2"/>
      <c r="B741" s="19"/>
      <c r="C741" s="18"/>
      <c r="D741" s="20"/>
      <c r="E741" s="19"/>
      <c r="F741" s="1"/>
      <c r="G741" s="121"/>
      <c r="H741" s="1"/>
      <c r="I741" s="1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1.25" customHeight="1" x14ac:dyDescent="0.3">
      <c r="A742" s="2"/>
      <c r="B742" s="19"/>
      <c r="C742" s="18"/>
      <c r="D742" s="20"/>
      <c r="E742" s="19"/>
      <c r="F742" s="1"/>
      <c r="G742" s="121"/>
      <c r="H742" s="1"/>
      <c r="I742" s="1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1.25" customHeight="1" x14ac:dyDescent="0.3">
      <c r="A743" s="2"/>
      <c r="B743" s="19"/>
      <c r="C743" s="18"/>
      <c r="D743" s="20"/>
      <c r="E743" s="19"/>
      <c r="F743" s="1"/>
      <c r="G743" s="121"/>
      <c r="H743" s="1"/>
      <c r="I743" s="1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1.25" customHeight="1" x14ac:dyDescent="0.3">
      <c r="A744" s="2"/>
      <c r="B744" s="19"/>
      <c r="C744" s="18"/>
      <c r="D744" s="20"/>
      <c r="E744" s="19"/>
      <c r="F744" s="1"/>
      <c r="G744" s="121"/>
      <c r="H744" s="1"/>
      <c r="I744" s="1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1.25" customHeight="1" x14ac:dyDescent="0.3">
      <c r="A745" s="2"/>
      <c r="B745" s="19"/>
      <c r="C745" s="18"/>
      <c r="D745" s="20"/>
      <c r="E745" s="19"/>
      <c r="F745" s="1"/>
      <c r="G745" s="121"/>
      <c r="H745" s="1"/>
      <c r="I745" s="1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1.25" customHeight="1" x14ac:dyDescent="0.3">
      <c r="A746" s="2"/>
      <c r="B746" s="19"/>
      <c r="C746" s="18"/>
      <c r="D746" s="20"/>
      <c r="E746" s="19"/>
      <c r="F746" s="1"/>
      <c r="G746" s="121"/>
      <c r="H746" s="1"/>
      <c r="I746" s="1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1.25" customHeight="1" x14ac:dyDescent="0.3">
      <c r="A747" s="2"/>
      <c r="B747" s="19"/>
      <c r="C747" s="18"/>
      <c r="D747" s="20"/>
      <c r="E747" s="19"/>
      <c r="F747" s="1"/>
      <c r="G747" s="121"/>
      <c r="H747" s="1"/>
      <c r="I747" s="1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1.25" customHeight="1" x14ac:dyDescent="0.3">
      <c r="A748" s="2"/>
      <c r="B748" s="19"/>
      <c r="C748" s="18"/>
      <c r="D748" s="20"/>
      <c r="E748" s="19"/>
      <c r="F748" s="1"/>
      <c r="G748" s="121"/>
      <c r="H748" s="1"/>
      <c r="I748" s="1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1.25" customHeight="1" x14ac:dyDescent="0.3">
      <c r="A749" s="2"/>
      <c r="B749" s="19"/>
      <c r="C749" s="18"/>
      <c r="D749" s="20"/>
      <c r="E749" s="19"/>
      <c r="F749" s="1"/>
      <c r="G749" s="121"/>
      <c r="H749" s="1"/>
      <c r="I749" s="1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1.25" customHeight="1" x14ac:dyDescent="0.3">
      <c r="A750" s="2"/>
      <c r="B750" s="19"/>
      <c r="C750" s="18"/>
      <c r="D750" s="20"/>
      <c r="E750" s="19"/>
      <c r="F750" s="1"/>
      <c r="G750" s="121"/>
      <c r="H750" s="1"/>
      <c r="I750" s="1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1.25" customHeight="1" x14ac:dyDescent="0.3">
      <c r="A751" s="2"/>
      <c r="B751" s="19"/>
      <c r="C751" s="18"/>
      <c r="D751" s="20"/>
      <c r="E751" s="19"/>
      <c r="F751" s="1"/>
      <c r="G751" s="121"/>
      <c r="H751" s="1"/>
      <c r="I751" s="1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1.25" customHeight="1" x14ac:dyDescent="0.3">
      <c r="A752" s="2"/>
      <c r="B752" s="19"/>
      <c r="C752" s="18"/>
      <c r="D752" s="20"/>
      <c r="E752" s="19"/>
      <c r="F752" s="1"/>
      <c r="G752" s="121"/>
      <c r="H752" s="1"/>
      <c r="I752" s="1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1.25" customHeight="1" x14ac:dyDescent="0.3">
      <c r="A753" s="2"/>
      <c r="B753" s="19"/>
      <c r="C753" s="18"/>
      <c r="D753" s="20"/>
      <c r="E753" s="19"/>
      <c r="F753" s="1"/>
      <c r="G753" s="121"/>
      <c r="H753" s="1"/>
      <c r="I753" s="1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1.25" customHeight="1" x14ac:dyDescent="0.3">
      <c r="A754" s="2"/>
      <c r="B754" s="19"/>
      <c r="C754" s="18"/>
      <c r="D754" s="20"/>
      <c r="E754" s="19"/>
      <c r="F754" s="1"/>
      <c r="G754" s="121"/>
      <c r="H754" s="1"/>
      <c r="I754" s="1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1.25" customHeight="1" x14ac:dyDescent="0.3">
      <c r="A755" s="2"/>
      <c r="B755" s="19"/>
      <c r="C755" s="18"/>
      <c r="D755" s="20"/>
      <c r="E755" s="19"/>
      <c r="F755" s="1"/>
      <c r="G755" s="121"/>
      <c r="H755" s="1"/>
      <c r="I755" s="1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1.25" customHeight="1" x14ac:dyDescent="0.3">
      <c r="A756" s="2"/>
      <c r="B756" s="19"/>
      <c r="C756" s="18"/>
      <c r="D756" s="20"/>
      <c r="E756" s="19"/>
      <c r="F756" s="1"/>
      <c r="G756" s="121"/>
      <c r="H756" s="1"/>
      <c r="I756" s="1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1.25" customHeight="1" x14ac:dyDescent="0.3">
      <c r="A757" s="2"/>
      <c r="B757" s="19"/>
      <c r="C757" s="18"/>
      <c r="D757" s="20"/>
      <c r="E757" s="19"/>
      <c r="F757" s="1"/>
      <c r="G757" s="121"/>
      <c r="H757" s="1"/>
      <c r="I757" s="1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1.25" customHeight="1" x14ac:dyDescent="0.3">
      <c r="A758" s="2"/>
      <c r="B758" s="19"/>
      <c r="C758" s="18"/>
      <c r="D758" s="20"/>
      <c r="E758" s="19"/>
      <c r="F758" s="1"/>
      <c r="G758" s="121"/>
      <c r="H758" s="1"/>
      <c r="I758" s="1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1.25" customHeight="1" x14ac:dyDescent="0.3">
      <c r="A759" s="2"/>
      <c r="B759" s="19"/>
      <c r="C759" s="18"/>
      <c r="D759" s="20"/>
      <c r="E759" s="19"/>
      <c r="F759" s="1"/>
      <c r="G759" s="121"/>
      <c r="H759" s="1"/>
      <c r="I759" s="1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1.25" customHeight="1" x14ac:dyDescent="0.3">
      <c r="A760" s="2"/>
      <c r="B760" s="19"/>
      <c r="C760" s="18"/>
      <c r="D760" s="20"/>
      <c r="E760" s="19"/>
      <c r="F760" s="1"/>
      <c r="G760" s="121"/>
      <c r="H760" s="1"/>
      <c r="I760" s="1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1.25" customHeight="1" x14ac:dyDescent="0.3">
      <c r="A761" s="2"/>
      <c r="B761" s="19"/>
      <c r="C761" s="18"/>
      <c r="D761" s="20"/>
      <c r="E761" s="19"/>
      <c r="F761" s="1"/>
      <c r="G761" s="121"/>
      <c r="H761" s="1"/>
      <c r="I761" s="1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1.25" customHeight="1" x14ac:dyDescent="0.3">
      <c r="A762" s="2"/>
      <c r="B762" s="19"/>
      <c r="C762" s="18"/>
      <c r="D762" s="20"/>
      <c r="E762" s="19"/>
      <c r="F762" s="1"/>
      <c r="G762" s="121"/>
      <c r="H762" s="1"/>
      <c r="I762" s="1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1.25" customHeight="1" x14ac:dyDescent="0.3">
      <c r="A763" s="2"/>
      <c r="B763" s="19"/>
      <c r="C763" s="18"/>
      <c r="D763" s="20"/>
      <c r="E763" s="19"/>
      <c r="F763" s="1"/>
      <c r="G763" s="121"/>
      <c r="H763" s="1"/>
      <c r="I763" s="1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1.25" customHeight="1" x14ac:dyDescent="0.3">
      <c r="A764" s="2"/>
      <c r="B764" s="19"/>
      <c r="C764" s="18"/>
      <c r="D764" s="20"/>
      <c r="E764" s="19"/>
      <c r="F764" s="1"/>
      <c r="G764" s="121"/>
      <c r="H764" s="1"/>
      <c r="I764" s="1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1.25" customHeight="1" x14ac:dyDescent="0.3">
      <c r="A765" s="2"/>
      <c r="B765" s="19"/>
      <c r="C765" s="18"/>
      <c r="D765" s="20"/>
      <c r="E765" s="19"/>
      <c r="F765" s="1"/>
      <c r="G765" s="121"/>
      <c r="H765" s="1"/>
      <c r="I765" s="1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1.25" customHeight="1" x14ac:dyDescent="0.3">
      <c r="A766" s="2"/>
      <c r="B766" s="19"/>
      <c r="C766" s="18"/>
      <c r="D766" s="20"/>
      <c r="E766" s="19"/>
      <c r="F766" s="1"/>
      <c r="G766" s="121"/>
      <c r="H766" s="1"/>
      <c r="I766" s="1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1.25" customHeight="1" x14ac:dyDescent="0.3">
      <c r="A767" s="2"/>
      <c r="B767" s="19"/>
      <c r="C767" s="18"/>
      <c r="D767" s="20"/>
      <c r="E767" s="19"/>
      <c r="F767" s="1"/>
      <c r="G767" s="121"/>
      <c r="H767" s="1"/>
      <c r="I767" s="1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1.25" customHeight="1" x14ac:dyDescent="0.3">
      <c r="A768" s="2"/>
      <c r="B768" s="19"/>
      <c r="C768" s="18"/>
      <c r="D768" s="20"/>
      <c r="E768" s="19"/>
      <c r="F768" s="1"/>
      <c r="G768" s="121"/>
      <c r="H768" s="1"/>
      <c r="I768" s="1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1.25" customHeight="1" x14ac:dyDescent="0.3">
      <c r="A769" s="2"/>
      <c r="B769" s="19"/>
      <c r="C769" s="18"/>
      <c r="D769" s="20"/>
      <c r="E769" s="19"/>
      <c r="F769" s="1"/>
      <c r="G769" s="121"/>
      <c r="H769" s="1"/>
      <c r="I769" s="1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1.25" customHeight="1" x14ac:dyDescent="0.3">
      <c r="A770" s="2"/>
      <c r="B770" s="19"/>
      <c r="C770" s="18"/>
      <c r="D770" s="20"/>
      <c r="E770" s="19"/>
      <c r="F770" s="1"/>
      <c r="G770" s="121"/>
      <c r="H770" s="1"/>
      <c r="I770" s="1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1.25" customHeight="1" x14ac:dyDescent="0.3">
      <c r="A771" s="2"/>
      <c r="B771" s="19"/>
      <c r="C771" s="18"/>
      <c r="D771" s="20"/>
      <c r="E771" s="19"/>
      <c r="F771" s="1"/>
      <c r="G771" s="121"/>
      <c r="H771" s="1"/>
      <c r="I771" s="1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1.25" customHeight="1" x14ac:dyDescent="0.3">
      <c r="A772" s="2"/>
      <c r="B772" s="19"/>
      <c r="C772" s="18"/>
      <c r="D772" s="20"/>
      <c r="E772" s="19"/>
      <c r="F772" s="1"/>
      <c r="G772" s="121"/>
      <c r="H772" s="1"/>
      <c r="I772" s="1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1.25" customHeight="1" x14ac:dyDescent="0.3">
      <c r="A773" s="2"/>
      <c r="B773" s="19"/>
      <c r="C773" s="18"/>
      <c r="D773" s="20"/>
      <c r="E773" s="19"/>
      <c r="F773" s="1"/>
      <c r="G773" s="121"/>
      <c r="H773" s="1"/>
      <c r="I773" s="1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1.25" customHeight="1" x14ac:dyDescent="0.3">
      <c r="A774" s="2"/>
      <c r="B774" s="19"/>
      <c r="C774" s="18"/>
      <c r="D774" s="20"/>
      <c r="E774" s="19"/>
      <c r="F774" s="1"/>
      <c r="G774" s="121"/>
      <c r="H774" s="1"/>
      <c r="I774" s="1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1.25" customHeight="1" x14ac:dyDescent="0.3">
      <c r="A775" s="2"/>
      <c r="B775" s="19"/>
      <c r="C775" s="18"/>
      <c r="D775" s="20"/>
      <c r="E775" s="19"/>
      <c r="F775" s="1"/>
      <c r="G775" s="121"/>
      <c r="H775" s="1"/>
      <c r="I775" s="1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1.25" customHeight="1" x14ac:dyDescent="0.3">
      <c r="A776" s="2"/>
      <c r="B776" s="19"/>
      <c r="C776" s="18"/>
      <c r="D776" s="20"/>
      <c r="E776" s="19"/>
      <c r="F776" s="1"/>
      <c r="G776" s="121"/>
      <c r="H776" s="1"/>
      <c r="I776" s="1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1.25" customHeight="1" x14ac:dyDescent="0.3">
      <c r="A777" s="2"/>
      <c r="B777" s="19"/>
      <c r="C777" s="18"/>
      <c r="D777" s="20"/>
      <c r="E777" s="19"/>
      <c r="F777" s="1"/>
      <c r="G777" s="121"/>
      <c r="H777" s="1"/>
      <c r="I777" s="1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1.25" customHeight="1" x14ac:dyDescent="0.3">
      <c r="A778" s="2"/>
      <c r="B778" s="19"/>
      <c r="C778" s="18"/>
      <c r="D778" s="20"/>
      <c r="E778" s="19"/>
      <c r="F778" s="1"/>
      <c r="G778" s="121"/>
      <c r="H778" s="1"/>
      <c r="I778" s="1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1.25" customHeight="1" x14ac:dyDescent="0.3">
      <c r="A779" s="2"/>
      <c r="B779" s="19"/>
      <c r="C779" s="18"/>
      <c r="D779" s="20"/>
      <c r="E779" s="19"/>
      <c r="F779" s="1"/>
      <c r="G779" s="121"/>
      <c r="H779" s="1"/>
      <c r="I779" s="1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1.25" customHeight="1" x14ac:dyDescent="0.3">
      <c r="A780" s="2"/>
      <c r="B780" s="19"/>
      <c r="C780" s="18"/>
      <c r="D780" s="20"/>
      <c r="E780" s="19"/>
      <c r="F780" s="1"/>
      <c r="G780" s="121"/>
      <c r="H780" s="1"/>
      <c r="I780" s="1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1.25" customHeight="1" x14ac:dyDescent="0.3">
      <c r="A781" s="2"/>
      <c r="B781" s="19"/>
      <c r="C781" s="18"/>
      <c r="D781" s="20"/>
      <c r="E781" s="19"/>
      <c r="F781" s="1"/>
      <c r="G781" s="121"/>
      <c r="H781" s="1"/>
      <c r="I781" s="1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1.25" customHeight="1" x14ac:dyDescent="0.3">
      <c r="A782" s="2"/>
      <c r="B782" s="19"/>
      <c r="C782" s="18"/>
      <c r="D782" s="20"/>
      <c r="E782" s="19"/>
      <c r="F782" s="1"/>
      <c r="G782" s="121"/>
      <c r="H782" s="1"/>
      <c r="I782" s="1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1.25" customHeight="1" x14ac:dyDescent="0.3">
      <c r="A783" s="2"/>
      <c r="B783" s="19"/>
      <c r="C783" s="18"/>
      <c r="D783" s="20"/>
      <c r="E783" s="19"/>
      <c r="F783" s="1"/>
      <c r="G783" s="121"/>
      <c r="H783" s="1"/>
      <c r="I783" s="1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1.25" customHeight="1" x14ac:dyDescent="0.3">
      <c r="A784" s="2"/>
      <c r="B784" s="19"/>
      <c r="C784" s="18"/>
      <c r="D784" s="20"/>
      <c r="E784" s="19"/>
      <c r="F784" s="1"/>
      <c r="G784" s="121"/>
      <c r="H784" s="1"/>
      <c r="I784" s="1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1.25" customHeight="1" x14ac:dyDescent="0.3">
      <c r="A785" s="2"/>
      <c r="B785" s="19"/>
      <c r="C785" s="18"/>
      <c r="D785" s="20"/>
      <c r="E785" s="19"/>
      <c r="F785" s="1"/>
      <c r="G785" s="121"/>
      <c r="H785" s="1"/>
      <c r="I785" s="1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1.25" customHeight="1" x14ac:dyDescent="0.3">
      <c r="A786" s="2"/>
      <c r="B786" s="19"/>
      <c r="C786" s="18"/>
      <c r="D786" s="20"/>
      <c r="E786" s="19"/>
      <c r="F786" s="1"/>
      <c r="G786" s="121"/>
      <c r="H786" s="1"/>
      <c r="I786" s="1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1.25" customHeight="1" x14ac:dyDescent="0.3">
      <c r="A787" s="2"/>
      <c r="B787" s="19"/>
      <c r="C787" s="18"/>
      <c r="D787" s="20"/>
      <c r="E787" s="19"/>
      <c r="F787" s="1"/>
      <c r="G787" s="121"/>
      <c r="H787" s="1"/>
      <c r="I787" s="1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1.25" customHeight="1" x14ac:dyDescent="0.3">
      <c r="A788" s="2"/>
      <c r="B788" s="19"/>
      <c r="C788" s="18"/>
      <c r="D788" s="20"/>
      <c r="E788" s="19"/>
      <c r="F788" s="1"/>
      <c r="G788" s="121"/>
      <c r="H788" s="1"/>
      <c r="I788" s="1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1.25" customHeight="1" x14ac:dyDescent="0.3">
      <c r="A789" s="2"/>
      <c r="B789" s="19"/>
      <c r="C789" s="18"/>
      <c r="D789" s="20"/>
      <c r="E789" s="19"/>
      <c r="F789" s="1"/>
      <c r="G789" s="121"/>
      <c r="H789" s="1"/>
      <c r="I789" s="1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1.25" customHeight="1" x14ac:dyDescent="0.3">
      <c r="A790" s="2"/>
      <c r="B790" s="19"/>
      <c r="C790" s="18"/>
      <c r="D790" s="20"/>
      <c r="E790" s="19"/>
      <c r="F790" s="1"/>
      <c r="G790" s="121"/>
      <c r="H790" s="1"/>
      <c r="I790" s="1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1.25" customHeight="1" x14ac:dyDescent="0.3">
      <c r="A791" s="2"/>
      <c r="B791" s="19"/>
      <c r="C791" s="18"/>
      <c r="D791" s="20"/>
      <c r="E791" s="19"/>
      <c r="F791" s="1"/>
      <c r="G791" s="121"/>
      <c r="H791" s="1"/>
      <c r="I791" s="1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1.25" customHeight="1" x14ac:dyDescent="0.3">
      <c r="A792" s="2"/>
      <c r="B792" s="19"/>
      <c r="C792" s="18"/>
      <c r="D792" s="20"/>
      <c r="E792" s="19"/>
      <c r="F792" s="1"/>
      <c r="G792" s="121"/>
      <c r="H792" s="1"/>
      <c r="I792" s="1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1.25" customHeight="1" x14ac:dyDescent="0.3">
      <c r="A793" s="2"/>
      <c r="B793" s="19"/>
      <c r="C793" s="18"/>
      <c r="D793" s="20"/>
      <c r="E793" s="19"/>
      <c r="F793" s="1"/>
      <c r="G793" s="121"/>
      <c r="H793" s="1"/>
      <c r="I793" s="1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1.25" customHeight="1" x14ac:dyDescent="0.3">
      <c r="A794" s="2"/>
      <c r="B794" s="19"/>
      <c r="C794" s="18"/>
      <c r="D794" s="20"/>
      <c r="E794" s="19"/>
      <c r="F794" s="1"/>
      <c r="G794" s="121"/>
      <c r="H794" s="1"/>
      <c r="I794" s="1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1.25" customHeight="1" x14ac:dyDescent="0.3">
      <c r="A795" s="2"/>
      <c r="B795" s="19"/>
      <c r="C795" s="18"/>
      <c r="D795" s="20"/>
      <c r="E795" s="19"/>
      <c r="F795" s="1"/>
      <c r="G795" s="121"/>
      <c r="H795" s="1"/>
      <c r="I795" s="1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1.25" customHeight="1" x14ac:dyDescent="0.3">
      <c r="A796" s="2"/>
      <c r="B796" s="19"/>
      <c r="C796" s="18"/>
      <c r="D796" s="20"/>
      <c r="E796" s="19"/>
      <c r="F796" s="1"/>
      <c r="G796" s="121"/>
      <c r="H796" s="1"/>
      <c r="I796" s="1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1.25" customHeight="1" x14ac:dyDescent="0.3">
      <c r="A797" s="2"/>
      <c r="B797" s="19"/>
      <c r="C797" s="18"/>
      <c r="D797" s="20"/>
      <c r="E797" s="19"/>
      <c r="F797" s="1"/>
      <c r="G797" s="121"/>
      <c r="H797" s="1"/>
      <c r="I797" s="1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1.25" customHeight="1" x14ac:dyDescent="0.3">
      <c r="A798" s="2"/>
      <c r="B798" s="19"/>
      <c r="C798" s="18"/>
      <c r="D798" s="20"/>
      <c r="E798" s="19"/>
      <c r="F798" s="1"/>
      <c r="G798" s="121"/>
      <c r="H798" s="1"/>
      <c r="I798" s="1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1.25" customHeight="1" x14ac:dyDescent="0.3">
      <c r="A799" s="2"/>
      <c r="B799" s="19"/>
      <c r="C799" s="18"/>
      <c r="D799" s="20"/>
      <c r="E799" s="19"/>
      <c r="F799" s="1"/>
      <c r="G799" s="121"/>
      <c r="H799" s="1"/>
      <c r="I799" s="1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1.25" customHeight="1" x14ac:dyDescent="0.3">
      <c r="A800" s="2"/>
      <c r="B800" s="19"/>
      <c r="C800" s="18"/>
      <c r="D800" s="20"/>
      <c r="E800" s="19"/>
      <c r="F800" s="1"/>
      <c r="G800" s="121"/>
      <c r="H800" s="1"/>
      <c r="I800" s="1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1.25" customHeight="1" x14ac:dyDescent="0.3">
      <c r="A801" s="2"/>
      <c r="B801" s="19"/>
      <c r="C801" s="18"/>
      <c r="D801" s="20"/>
      <c r="E801" s="19"/>
      <c r="F801" s="1"/>
      <c r="G801" s="121"/>
      <c r="H801" s="1"/>
      <c r="I801" s="1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1.25" customHeight="1" x14ac:dyDescent="0.3">
      <c r="A802" s="2"/>
      <c r="B802" s="19"/>
      <c r="C802" s="18"/>
      <c r="D802" s="20"/>
      <c r="E802" s="19"/>
      <c r="F802" s="1"/>
      <c r="G802" s="121"/>
      <c r="H802" s="1"/>
      <c r="I802" s="1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1.25" customHeight="1" x14ac:dyDescent="0.3">
      <c r="A803" s="2"/>
      <c r="B803" s="19"/>
      <c r="C803" s="18"/>
      <c r="D803" s="20"/>
      <c r="E803" s="19"/>
      <c r="F803" s="1"/>
      <c r="G803" s="121"/>
      <c r="H803" s="1"/>
      <c r="I803" s="1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1.25" customHeight="1" x14ac:dyDescent="0.3">
      <c r="A804" s="2"/>
      <c r="B804" s="19"/>
      <c r="C804" s="18"/>
      <c r="D804" s="20"/>
      <c r="E804" s="19"/>
      <c r="F804" s="1"/>
      <c r="G804" s="121"/>
      <c r="H804" s="1"/>
      <c r="I804" s="1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1.25" customHeight="1" x14ac:dyDescent="0.3">
      <c r="A805" s="2"/>
      <c r="B805" s="19"/>
      <c r="C805" s="18"/>
      <c r="D805" s="20"/>
      <c r="E805" s="19"/>
      <c r="F805" s="1"/>
      <c r="G805" s="121"/>
      <c r="H805" s="1"/>
      <c r="I805" s="1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1.25" customHeight="1" x14ac:dyDescent="0.3">
      <c r="A806" s="2"/>
      <c r="B806" s="19"/>
      <c r="C806" s="18"/>
      <c r="D806" s="20"/>
      <c r="E806" s="19"/>
      <c r="F806" s="1"/>
      <c r="G806" s="121"/>
      <c r="H806" s="1"/>
      <c r="I806" s="1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1.25" customHeight="1" x14ac:dyDescent="0.3">
      <c r="A807" s="2"/>
      <c r="B807" s="19"/>
      <c r="C807" s="18"/>
      <c r="D807" s="20"/>
      <c r="E807" s="19"/>
      <c r="F807" s="1"/>
      <c r="G807" s="121"/>
      <c r="H807" s="1"/>
      <c r="I807" s="1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1.25" customHeight="1" x14ac:dyDescent="0.3">
      <c r="A808" s="2"/>
      <c r="B808" s="19"/>
      <c r="C808" s="18"/>
      <c r="D808" s="20"/>
      <c r="E808" s="19"/>
      <c r="F808" s="1"/>
      <c r="G808" s="121"/>
      <c r="H808" s="1"/>
      <c r="I808" s="1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1.25" customHeight="1" x14ac:dyDescent="0.3">
      <c r="A809" s="2"/>
      <c r="B809" s="19"/>
      <c r="C809" s="18"/>
      <c r="D809" s="20"/>
      <c r="E809" s="19"/>
      <c r="F809" s="1"/>
      <c r="G809" s="121"/>
      <c r="H809" s="1"/>
      <c r="I809" s="1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1.25" customHeight="1" x14ac:dyDescent="0.3">
      <c r="A810" s="2"/>
      <c r="B810" s="19"/>
      <c r="C810" s="18"/>
      <c r="D810" s="20"/>
      <c r="E810" s="19"/>
      <c r="F810" s="1"/>
      <c r="G810" s="121"/>
      <c r="H810" s="1"/>
      <c r="I810" s="1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1.25" customHeight="1" x14ac:dyDescent="0.3">
      <c r="A811" s="2"/>
      <c r="B811" s="19"/>
      <c r="C811" s="18"/>
      <c r="D811" s="20"/>
      <c r="E811" s="19"/>
      <c r="F811" s="1"/>
      <c r="G811" s="121"/>
      <c r="H811" s="1"/>
      <c r="I811" s="1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1.25" customHeight="1" x14ac:dyDescent="0.3">
      <c r="A812" s="2"/>
      <c r="B812" s="19"/>
      <c r="C812" s="18"/>
      <c r="D812" s="20"/>
      <c r="E812" s="19"/>
      <c r="F812" s="1"/>
      <c r="G812" s="121"/>
      <c r="H812" s="1"/>
      <c r="I812" s="1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1.25" customHeight="1" x14ac:dyDescent="0.3">
      <c r="A813" s="2"/>
      <c r="B813" s="19"/>
      <c r="C813" s="18"/>
      <c r="D813" s="20"/>
      <c r="E813" s="19"/>
      <c r="F813" s="1"/>
      <c r="G813" s="121"/>
      <c r="H813" s="1"/>
      <c r="I813" s="1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1.25" customHeight="1" x14ac:dyDescent="0.3">
      <c r="A814" s="2"/>
      <c r="B814" s="19"/>
      <c r="C814" s="18"/>
      <c r="D814" s="20"/>
      <c r="E814" s="19"/>
      <c r="F814" s="1"/>
      <c r="G814" s="121"/>
      <c r="H814" s="1"/>
      <c r="I814" s="1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1.25" customHeight="1" x14ac:dyDescent="0.3">
      <c r="A815" s="2"/>
      <c r="B815" s="19"/>
      <c r="C815" s="18"/>
      <c r="D815" s="20"/>
      <c r="E815" s="19"/>
      <c r="F815" s="1"/>
      <c r="G815" s="121"/>
      <c r="H815" s="1"/>
      <c r="I815" s="1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1.25" customHeight="1" x14ac:dyDescent="0.3">
      <c r="A816" s="2"/>
      <c r="B816" s="19"/>
      <c r="C816" s="18"/>
      <c r="D816" s="20"/>
      <c r="E816" s="19"/>
      <c r="F816" s="1"/>
      <c r="G816" s="121"/>
      <c r="H816" s="1"/>
      <c r="I816" s="1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1.25" customHeight="1" x14ac:dyDescent="0.3">
      <c r="A817" s="2"/>
      <c r="B817" s="19"/>
      <c r="C817" s="18"/>
      <c r="D817" s="20"/>
      <c r="E817" s="19"/>
      <c r="F817" s="1"/>
      <c r="G817" s="121"/>
      <c r="H817" s="1"/>
      <c r="I817" s="1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1.25" customHeight="1" x14ac:dyDescent="0.3">
      <c r="A818" s="2"/>
      <c r="B818" s="19"/>
      <c r="C818" s="18"/>
      <c r="D818" s="20"/>
      <c r="E818" s="19"/>
      <c r="F818" s="1"/>
      <c r="G818" s="121"/>
      <c r="H818" s="1"/>
      <c r="I818" s="1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1.25" customHeight="1" x14ac:dyDescent="0.3">
      <c r="A819" s="2"/>
      <c r="B819" s="19"/>
      <c r="C819" s="18"/>
      <c r="D819" s="20"/>
      <c r="E819" s="19"/>
      <c r="F819" s="1"/>
      <c r="G819" s="121"/>
      <c r="H819" s="1"/>
      <c r="I819" s="1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1.25" customHeight="1" x14ac:dyDescent="0.3">
      <c r="A820" s="2"/>
      <c r="B820" s="19"/>
      <c r="C820" s="18"/>
      <c r="D820" s="20"/>
      <c r="E820" s="19"/>
      <c r="F820" s="1"/>
      <c r="G820" s="121"/>
      <c r="H820" s="1"/>
      <c r="I820" s="1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1.25" customHeight="1" x14ac:dyDescent="0.3">
      <c r="A821" s="2"/>
      <c r="B821" s="19"/>
      <c r="C821" s="18"/>
      <c r="D821" s="20"/>
      <c r="E821" s="19"/>
      <c r="F821" s="1"/>
      <c r="G821" s="121"/>
      <c r="H821" s="1"/>
      <c r="I821" s="1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1.25" customHeight="1" x14ac:dyDescent="0.3">
      <c r="A822" s="2"/>
      <c r="B822" s="19"/>
      <c r="C822" s="18"/>
      <c r="D822" s="20"/>
      <c r="E822" s="19"/>
      <c r="F822" s="1"/>
      <c r="G822" s="121"/>
      <c r="H822" s="1"/>
      <c r="I822" s="1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1.25" customHeight="1" x14ac:dyDescent="0.3">
      <c r="A823" s="2"/>
      <c r="B823" s="19"/>
      <c r="C823" s="18"/>
      <c r="D823" s="20"/>
      <c r="E823" s="19"/>
      <c r="F823" s="1"/>
      <c r="G823" s="121"/>
      <c r="H823" s="1"/>
      <c r="I823" s="1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1.25" customHeight="1" x14ac:dyDescent="0.3">
      <c r="A824" s="2"/>
      <c r="B824" s="19"/>
      <c r="C824" s="18"/>
      <c r="D824" s="20"/>
      <c r="E824" s="19"/>
      <c r="F824" s="1"/>
      <c r="G824" s="121"/>
      <c r="H824" s="1"/>
      <c r="I824" s="1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1.25" customHeight="1" x14ac:dyDescent="0.3">
      <c r="A825" s="2"/>
      <c r="B825" s="19"/>
      <c r="C825" s="18"/>
      <c r="D825" s="20"/>
      <c r="E825" s="19"/>
      <c r="F825" s="1"/>
      <c r="G825" s="121"/>
      <c r="H825" s="1"/>
      <c r="I825" s="1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1.25" customHeight="1" x14ac:dyDescent="0.3">
      <c r="A826" s="2"/>
      <c r="B826" s="19"/>
      <c r="C826" s="18"/>
      <c r="D826" s="20"/>
      <c r="E826" s="19"/>
      <c r="F826" s="1"/>
      <c r="G826" s="121"/>
      <c r="H826" s="1"/>
      <c r="I826" s="1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1.25" customHeight="1" x14ac:dyDescent="0.3">
      <c r="A827" s="2"/>
      <c r="B827" s="19"/>
      <c r="C827" s="18"/>
      <c r="D827" s="20"/>
      <c r="E827" s="19"/>
      <c r="F827" s="1"/>
      <c r="G827" s="121"/>
      <c r="H827" s="1"/>
      <c r="I827" s="1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1.25" customHeight="1" x14ac:dyDescent="0.3">
      <c r="A828" s="2"/>
      <c r="B828" s="19"/>
      <c r="C828" s="18"/>
      <c r="D828" s="20"/>
      <c r="E828" s="19"/>
      <c r="F828" s="1"/>
      <c r="G828" s="121"/>
      <c r="H828" s="1"/>
      <c r="I828" s="1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1.25" customHeight="1" x14ac:dyDescent="0.3">
      <c r="A829" s="2"/>
      <c r="B829" s="19"/>
      <c r="C829" s="18"/>
      <c r="D829" s="20"/>
      <c r="E829" s="19"/>
      <c r="F829" s="1"/>
      <c r="G829" s="121"/>
      <c r="H829" s="1"/>
      <c r="I829" s="1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1.25" customHeight="1" x14ac:dyDescent="0.3">
      <c r="A830" s="2"/>
      <c r="B830" s="19"/>
      <c r="C830" s="18"/>
      <c r="D830" s="20"/>
      <c r="E830" s="19"/>
      <c r="F830" s="1"/>
      <c r="G830" s="121"/>
      <c r="H830" s="1"/>
      <c r="I830" s="1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1.25" customHeight="1" x14ac:dyDescent="0.3">
      <c r="A831" s="2"/>
      <c r="B831" s="19"/>
      <c r="C831" s="18"/>
      <c r="D831" s="20"/>
      <c r="E831" s="19"/>
      <c r="F831" s="1"/>
      <c r="G831" s="121"/>
      <c r="H831" s="1"/>
      <c r="I831" s="1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1.25" customHeight="1" x14ac:dyDescent="0.3">
      <c r="A832" s="2"/>
      <c r="B832" s="19"/>
      <c r="C832" s="18"/>
      <c r="D832" s="20"/>
      <c r="E832" s="19"/>
      <c r="F832" s="1"/>
      <c r="G832" s="121"/>
      <c r="H832" s="1"/>
      <c r="I832" s="1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1.25" customHeight="1" x14ac:dyDescent="0.3">
      <c r="A833" s="2"/>
      <c r="B833" s="19"/>
      <c r="C833" s="18"/>
      <c r="D833" s="20"/>
      <c r="E833" s="19"/>
      <c r="F833" s="1"/>
      <c r="G833" s="121"/>
      <c r="H833" s="1"/>
      <c r="I833" s="1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1.25" customHeight="1" x14ac:dyDescent="0.3">
      <c r="A834" s="2"/>
      <c r="B834" s="19"/>
      <c r="C834" s="18"/>
      <c r="D834" s="20"/>
      <c r="E834" s="19"/>
      <c r="F834" s="1"/>
      <c r="G834" s="121"/>
      <c r="H834" s="1"/>
      <c r="I834" s="1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1.25" customHeight="1" x14ac:dyDescent="0.3">
      <c r="A835" s="2"/>
      <c r="B835" s="19"/>
      <c r="C835" s="18"/>
      <c r="D835" s="20"/>
      <c r="E835" s="19"/>
      <c r="F835" s="1"/>
      <c r="G835" s="121"/>
      <c r="H835" s="1"/>
      <c r="I835" s="1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1.25" customHeight="1" x14ac:dyDescent="0.3">
      <c r="A836" s="2"/>
      <c r="B836" s="19"/>
      <c r="C836" s="18"/>
      <c r="D836" s="20"/>
      <c r="E836" s="19"/>
      <c r="F836" s="1"/>
      <c r="G836" s="121"/>
      <c r="H836" s="1"/>
      <c r="I836" s="1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1.25" customHeight="1" x14ac:dyDescent="0.3">
      <c r="A837" s="2"/>
      <c r="B837" s="19"/>
      <c r="C837" s="18"/>
      <c r="D837" s="20"/>
      <c r="E837" s="19"/>
      <c r="F837" s="1"/>
      <c r="G837" s="121"/>
      <c r="H837" s="1"/>
      <c r="I837" s="1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1.25" customHeight="1" x14ac:dyDescent="0.3">
      <c r="A838" s="2"/>
      <c r="B838" s="19"/>
      <c r="C838" s="18"/>
      <c r="D838" s="20"/>
      <c r="E838" s="19"/>
      <c r="F838" s="1"/>
      <c r="G838" s="121"/>
      <c r="H838" s="1"/>
      <c r="I838" s="1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1.25" customHeight="1" x14ac:dyDescent="0.3">
      <c r="A839" s="2"/>
      <c r="B839" s="19"/>
      <c r="C839" s="18"/>
      <c r="D839" s="20"/>
      <c r="E839" s="19"/>
      <c r="F839" s="1"/>
      <c r="G839" s="121"/>
      <c r="H839" s="1"/>
      <c r="I839" s="1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1.25" customHeight="1" x14ac:dyDescent="0.3">
      <c r="A840" s="2"/>
      <c r="B840" s="19"/>
      <c r="C840" s="18"/>
      <c r="D840" s="20"/>
      <c r="E840" s="19"/>
      <c r="F840" s="1"/>
      <c r="G840" s="121"/>
      <c r="H840" s="1"/>
      <c r="I840" s="1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1.25" customHeight="1" x14ac:dyDescent="0.3">
      <c r="A841" s="2"/>
      <c r="B841" s="19"/>
      <c r="C841" s="18"/>
      <c r="D841" s="20"/>
      <c r="E841" s="19"/>
      <c r="F841" s="1"/>
      <c r="G841" s="121"/>
      <c r="H841" s="1"/>
      <c r="I841" s="1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1.25" customHeight="1" x14ac:dyDescent="0.3">
      <c r="A842" s="2"/>
      <c r="B842" s="19"/>
      <c r="C842" s="18"/>
      <c r="D842" s="20"/>
      <c r="E842" s="19"/>
      <c r="F842" s="1"/>
      <c r="G842" s="121"/>
      <c r="H842" s="1"/>
      <c r="I842" s="1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1.25" customHeight="1" x14ac:dyDescent="0.3">
      <c r="A843" s="2"/>
      <c r="B843" s="19"/>
      <c r="C843" s="18"/>
      <c r="D843" s="20"/>
      <c r="E843" s="19"/>
      <c r="F843" s="1"/>
      <c r="G843" s="121"/>
      <c r="H843" s="1"/>
      <c r="I843" s="1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1.25" customHeight="1" x14ac:dyDescent="0.3">
      <c r="A844" s="2"/>
      <c r="B844" s="19"/>
      <c r="C844" s="18"/>
      <c r="D844" s="20"/>
      <c r="E844" s="19"/>
      <c r="F844" s="1"/>
      <c r="G844" s="121"/>
      <c r="H844" s="1"/>
      <c r="I844" s="1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1.25" customHeight="1" x14ac:dyDescent="0.3">
      <c r="A845" s="2"/>
      <c r="B845" s="19"/>
      <c r="C845" s="18"/>
      <c r="D845" s="20"/>
      <c r="E845" s="19"/>
      <c r="F845" s="1"/>
      <c r="G845" s="121"/>
      <c r="H845" s="1"/>
      <c r="I845" s="1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1.25" customHeight="1" x14ac:dyDescent="0.3">
      <c r="A846" s="2"/>
      <c r="B846" s="19"/>
      <c r="C846" s="18"/>
      <c r="D846" s="20"/>
      <c r="E846" s="19"/>
      <c r="F846" s="1"/>
      <c r="G846" s="121"/>
      <c r="H846" s="1"/>
      <c r="I846" s="1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1.25" customHeight="1" x14ac:dyDescent="0.3">
      <c r="A847" s="2"/>
      <c r="B847" s="19"/>
      <c r="C847" s="18"/>
      <c r="D847" s="20"/>
      <c r="E847" s="19"/>
      <c r="F847" s="1"/>
      <c r="G847" s="121"/>
      <c r="H847" s="1"/>
      <c r="I847" s="1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1.25" customHeight="1" x14ac:dyDescent="0.3">
      <c r="A848" s="2"/>
      <c r="B848" s="19"/>
      <c r="C848" s="18"/>
      <c r="D848" s="20"/>
      <c r="E848" s="19"/>
      <c r="F848" s="1"/>
      <c r="G848" s="121"/>
      <c r="H848" s="1"/>
      <c r="I848" s="1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1.25" customHeight="1" x14ac:dyDescent="0.3">
      <c r="A849" s="2"/>
      <c r="B849" s="19"/>
      <c r="C849" s="18"/>
      <c r="D849" s="20"/>
      <c r="E849" s="19"/>
      <c r="F849" s="1"/>
      <c r="G849" s="121"/>
      <c r="H849" s="1"/>
      <c r="I849" s="1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1.25" customHeight="1" x14ac:dyDescent="0.3">
      <c r="A850" s="2"/>
      <c r="B850" s="19"/>
      <c r="C850" s="18"/>
      <c r="D850" s="20"/>
      <c r="E850" s="19"/>
      <c r="F850" s="1"/>
      <c r="G850" s="121"/>
      <c r="H850" s="1"/>
      <c r="I850" s="1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1.25" customHeight="1" x14ac:dyDescent="0.3">
      <c r="A851" s="2"/>
      <c r="B851" s="19"/>
      <c r="C851" s="18"/>
      <c r="D851" s="20"/>
      <c r="E851" s="19"/>
      <c r="F851" s="1"/>
      <c r="G851" s="121"/>
      <c r="H851" s="1"/>
      <c r="I851" s="1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1.25" customHeight="1" x14ac:dyDescent="0.3">
      <c r="A852" s="2"/>
      <c r="B852" s="19"/>
      <c r="C852" s="18"/>
      <c r="D852" s="20"/>
      <c r="E852" s="19"/>
      <c r="F852" s="1"/>
      <c r="G852" s="121"/>
      <c r="H852" s="1"/>
      <c r="I852" s="1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1.25" customHeight="1" x14ac:dyDescent="0.3">
      <c r="A853" s="2"/>
      <c r="B853" s="19"/>
      <c r="C853" s="18"/>
      <c r="D853" s="20"/>
      <c r="E853" s="19"/>
      <c r="F853" s="1"/>
      <c r="G853" s="121"/>
      <c r="H853" s="1"/>
      <c r="I853" s="1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1.25" customHeight="1" x14ac:dyDescent="0.3">
      <c r="A854" s="2"/>
      <c r="B854" s="19"/>
      <c r="C854" s="18"/>
      <c r="D854" s="20"/>
      <c r="E854" s="19"/>
      <c r="F854" s="1"/>
      <c r="G854" s="121"/>
      <c r="H854" s="1"/>
      <c r="I854" s="1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1.25" customHeight="1" x14ac:dyDescent="0.3">
      <c r="A855" s="2"/>
      <c r="B855" s="19"/>
      <c r="C855" s="18"/>
      <c r="D855" s="20"/>
      <c r="E855" s="19"/>
      <c r="F855" s="1"/>
      <c r="G855" s="121"/>
      <c r="H855" s="1"/>
      <c r="I855" s="1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1.25" customHeight="1" x14ac:dyDescent="0.3">
      <c r="A856" s="2"/>
      <c r="B856" s="19"/>
      <c r="C856" s="18"/>
      <c r="D856" s="20"/>
      <c r="E856" s="19"/>
      <c r="F856" s="1"/>
      <c r="G856" s="121"/>
      <c r="H856" s="1"/>
      <c r="I856" s="1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1.25" customHeight="1" x14ac:dyDescent="0.3">
      <c r="A857" s="2"/>
      <c r="B857" s="19"/>
      <c r="C857" s="18"/>
      <c r="D857" s="20"/>
      <c r="E857" s="19"/>
      <c r="F857" s="1"/>
      <c r="G857" s="121"/>
      <c r="H857" s="1"/>
      <c r="I857" s="1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1.25" customHeight="1" x14ac:dyDescent="0.3">
      <c r="A858" s="2"/>
      <c r="B858" s="19"/>
      <c r="C858" s="18"/>
      <c r="D858" s="20"/>
      <c r="E858" s="19"/>
      <c r="F858" s="1"/>
      <c r="G858" s="121"/>
      <c r="H858" s="1"/>
      <c r="I858" s="1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1.25" customHeight="1" x14ac:dyDescent="0.3">
      <c r="A859" s="2"/>
      <c r="B859" s="19"/>
      <c r="C859" s="18"/>
      <c r="D859" s="20"/>
      <c r="E859" s="19"/>
      <c r="F859" s="1"/>
      <c r="G859" s="121"/>
      <c r="H859" s="1"/>
      <c r="I859" s="1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1.25" customHeight="1" x14ac:dyDescent="0.3">
      <c r="A860" s="2"/>
      <c r="B860" s="19"/>
      <c r="C860" s="18"/>
      <c r="D860" s="20"/>
      <c r="E860" s="19"/>
      <c r="F860" s="1"/>
      <c r="G860" s="121"/>
      <c r="H860" s="1"/>
      <c r="I860" s="1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1.25" customHeight="1" x14ac:dyDescent="0.3">
      <c r="A861" s="2"/>
      <c r="B861" s="19"/>
      <c r="C861" s="18"/>
      <c r="D861" s="20"/>
      <c r="E861" s="19"/>
      <c r="F861" s="1"/>
      <c r="G861" s="121"/>
      <c r="H861" s="1"/>
      <c r="I861" s="1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1.25" customHeight="1" x14ac:dyDescent="0.3">
      <c r="A862" s="2"/>
      <c r="B862" s="19"/>
      <c r="C862" s="18"/>
      <c r="D862" s="20"/>
      <c r="E862" s="19"/>
      <c r="F862" s="1"/>
      <c r="G862" s="121"/>
      <c r="H862" s="1"/>
      <c r="I862" s="1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1.25" customHeight="1" x14ac:dyDescent="0.3">
      <c r="A863" s="2"/>
      <c r="B863" s="19"/>
      <c r="C863" s="18"/>
      <c r="D863" s="20"/>
      <c r="E863" s="19"/>
      <c r="F863" s="1"/>
      <c r="G863" s="121"/>
      <c r="H863" s="1"/>
      <c r="I863" s="1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1.25" customHeight="1" x14ac:dyDescent="0.3">
      <c r="A864" s="2"/>
      <c r="B864" s="19"/>
      <c r="C864" s="18"/>
      <c r="D864" s="20"/>
      <c r="E864" s="19"/>
      <c r="F864" s="1"/>
      <c r="G864" s="121"/>
      <c r="H864" s="1"/>
      <c r="I864" s="1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1.25" customHeight="1" x14ac:dyDescent="0.3">
      <c r="A865" s="2"/>
      <c r="B865" s="19"/>
      <c r="C865" s="18"/>
      <c r="D865" s="20"/>
      <c r="E865" s="19"/>
      <c r="F865" s="1"/>
      <c r="G865" s="121"/>
      <c r="H865" s="1"/>
      <c r="I865" s="1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1.25" customHeight="1" x14ac:dyDescent="0.3">
      <c r="A866" s="2"/>
      <c r="B866" s="19"/>
      <c r="C866" s="18"/>
      <c r="D866" s="20"/>
      <c r="E866" s="19"/>
      <c r="F866" s="1"/>
      <c r="G866" s="121"/>
      <c r="H866" s="1"/>
      <c r="I866" s="1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1.25" customHeight="1" x14ac:dyDescent="0.3">
      <c r="A867" s="2"/>
      <c r="B867" s="19"/>
      <c r="C867" s="18"/>
      <c r="D867" s="20"/>
      <c r="E867" s="19"/>
      <c r="F867" s="1"/>
      <c r="G867" s="121"/>
      <c r="H867" s="1"/>
      <c r="I867" s="1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1.25" customHeight="1" x14ac:dyDescent="0.3">
      <c r="A868" s="2"/>
      <c r="B868" s="19"/>
      <c r="C868" s="18"/>
      <c r="D868" s="20"/>
      <c r="E868" s="19"/>
      <c r="F868" s="1"/>
      <c r="G868" s="121"/>
      <c r="H868" s="1"/>
      <c r="I868" s="1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1.25" customHeight="1" x14ac:dyDescent="0.3">
      <c r="A869" s="2"/>
      <c r="B869" s="19"/>
      <c r="C869" s="18"/>
      <c r="D869" s="20"/>
      <c r="E869" s="19"/>
      <c r="F869" s="1"/>
      <c r="G869" s="121"/>
      <c r="H869" s="1"/>
      <c r="I869" s="1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1.25" customHeight="1" x14ac:dyDescent="0.3">
      <c r="A870" s="2"/>
      <c r="B870" s="19"/>
      <c r="C870" s="18"/>
      <c r="D870" s="20"/>
      <c r="E870" s="19"/>
      <c r="F870" s="1"/>
      <c r="G870" s="121"/>
      <c r="H870" s="1"/>
      <c r="I870" s="1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1.25" customHeight="1" x14ac:dyDescent="0.3">
      <c r="A871" s="2"/>
      <c r="B871" s="19"/>
      <c r="C871" s="18"/>
      <c r="D871" s="20"/>
      <c r="E871" s="19"/>
      <c r="F871" s="1"/>
      <c r="G871" s="121"/>
      <c r="H871" s="1"/>
      <c r="I871" s="1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1.25" customHeight="1" x14ac:dyDescent="0.3">
      <c r="A872" s="2"/>
      <c r="B872" s="19"/>
      <c r="C872" s="18"/>
      <c r="D872" s="20"/>
      <c r="E872" s="19"/>
      <c r="F872" s="1"/>
      <c r="G872" s="121"/>
      <c r="H872" s="1"/>
      <c r="I872" s="1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1.25" customHeight="1" x14ac:dyDescent="0.3">
      <c r="A873" s="2"/>
      <c r="B873" s="19"/>
      <c r="C873" s="18"/>
      <c r="D873" s="20"/>
      <c r="E873" s="19"/>
      <c r="F873" s="1"/>
      <c r="G873" s="121"/>
      <c r="H873" s="1"/>
      <c r="I873" s="1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1.25" customHeight="1" x14ac:dyDescent="0.3">
      <c r="A874" s="2"/>
      <c r="B874" s="19"/>
      <c r="C874" s="18"/>
      <c r="D874" s="20"/>
      <c r="E874" s="19"/>
      <c r="F874" s="1"/>
      <c r="G874" s="121"/>
      <c r="H874" s="1"/>
      <c r="I874" s="1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1.25" customHeight="1" x14ac:dyDescent="0.3">
      <c r="A875" s="2"/>
      <c r="B875" s="19"/>
      <c r="C875" s="18"/>
      <c r="D875" s="20"/>
      <c r="E875" s="19"/>
      <c r="F875" s="1"/>
      <c r="G875" s="121"/>
      <c r="H875" s="1"/>
      <c r="I875" s="1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1.25" customHeight="1" x14ac:dyDescent="0.3">
      <c r="A876" s="2"/>
      <c r="B876" s="19"/>
      <c r="C876" s="18"/>
      <c r="D876" s="20"/>
      <c r="E876" s="19"/>
      <c r="F876" s="1"/>
      <c r="G876" s="121"/>
      <c r="H876" s="1"/>
      <c r="I876" s="1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1.25" customHeight="1" x14ac:dyDescent="0.3">
      <c r="A877" s="2"/>
      <c r="B877" s="19"/>
      <c r="C877" s="18"/>
      <c r="D877" s="20"/>
      <c r="E877" s="19"/>
      <c r="F877" s="1"/>
      <c r="G877" s="121"/>
      <c r="H877" s="1"/>
      <c r="I877" s="1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1.25" customHeight="1" x14ac:dyDescent="0.3">
      <c r="A878" s="2"/>
      <c r="B878" s="19"/>
      <c r="C878" s="18"/>
      <c r="D878" s="20"/>
      <c r="E878" s="19"/>
      <c r="F878" s="1"/>
      <c r="G878" s="121"/>
      <c r="H878" s="1"/>
      <c r="I878" s="1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1.25" customHeight="1" x14ac:dyDescent="0.3">
      <c r="A879" s="2"/>
      <c r="B879" s="19"/>
      <c r="C879" s="18"/>
      <c r="D879" s="20"/>
      <c r="E879" s="19"/>
      <c r="F879" s="1"/>
      <c r="G879" s="121"/>
      <c r="H879" s="1"/>
      <c r="I879" s="1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1.25" customHeight="1" x14ac:dyDescent="0.3">
      <c r="A880" s="2"/>
      <c r="B880" s="19"/>
      <c r="C880" s="18"/>
      <c r="D880" s="20"/>
      <c r="E880" s="19"/>
      <c r="F880" s="1"/>
      <c r="G880" s="121"/>
      <c r="H880" s="1"/>
      <c r="I880" s="1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1.25" customHeight="1" x14ac:dyDescent="0.3">
      <c r="A881" s="2"/>
      <c r="B881" s="19"/>
      <c r="C881" s="18"/>
      <c r="D881" s="20"/>
      <c r="E881" s="19"/>
      <c r="F881" s="1"/>
      <c r="G881" s="121"/>
      <c r="H881" s="1"/>
      <c r="I881" s="1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1.25" customHeight="1" x14ac:dyDescent="0.3">
      <c r="A882" s="2"/>
      <c r="B882" s="19"/>
      <c r="C882" s="18"/>
      <c r="D882" s="20"/>
      <c r="E882" s="19"/>
      <c r="F882" s="1"/>
      <c r="G882" s="121"/>
      <c r="H882" s="1"/>
      <c r="I882" s="1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1.25" customHeight="1" x14ac:dyDescent="0.3">
      <c r="A883" s="2"/>
      <c r="B883" s="19"/>
      <c r="C883" s="18"/>
      <c r="D883" s="20"/>
      <c r="E883" s="19"/>
      <c r="F883" s="1"/>
      <c r="G883" s="121"/>
      <c r="H883" s="1"/>
      <c r="I883" s="1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1.25" customHeight="1" x14ac:dyDescent="0.3">
      <c r="A884" s="2"/>
      <c r="B884" s="19"/>
      <c r="C884" s="18"/>
      <c r="D884" s="20"/>
      <c r="E884" s="19"/>
      <c r="F884" s="1"/>
      <c r="G884" s="121"/>
      <c r="H884" s="1"/>
      <c r="I884" s="1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1.25" customHeight="1" x14ac:dyDescent="0.3">
      <c r="A885" s="2"/>
      <c r="B885" s="19"/>
      <c r="C885" s="18"/>
      <c r="D885" s="20"/>
      <c r="E885" s="19"/>
      <c r="F885" s="1"/>
      <c r="G885" s="121"/>
      <c r="H885" s="1"/>
      <c r="I885" s="1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1.25" customHeight="1" x14ac:dyDescent="0.3">
      <c r="A886" s="2"/>
      <c r="B886" s="19"/>
      <c r="C886" s="18"/>
      <c r="D886" s="20"/>
      <c r="E886" s="19"/>
      <c r="F886" s="1"/>
      <c r="G886" s="121"/>
      <c r="H886" s="1"/>
      <c r="I886" s="1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1.25" customHeight="1" x14ac:dyDescent="0.3">
      <c r="A887" s="2"/>
      <c r="B887" s="19"/>
      <c r="C887" s="18"/>
      <c r="D887" s="20"/>
      <c r="E887" s="19"/>
      <c r="F887" s="1"/>
      <c r="G887" s="121"/>
      <c r="H887" s="1"/>
      <c r="I887" s="1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1.25" customHeight="1" x14ac:dyDescent="0.3">
      <c r="A888" s="2"/>
      <c r="B888" s="19"/>
      <c r="C888" s="18"/>
      <c r="D888" s="20"/>
      <c r="E888" s="19"/>
      <c r="F888" s="1"/>
      <c r="G888" s="121"/>
      <c r="H888" s="1"/>
      <c r="I888" s="1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1.25" customHeight="1" x14ac:dyDescent="0.3">
      <c r="A889" s="2"/>
      <c r="B889" s="19"/>
      <c r="C889" s="18"/>
      <c r="D889" s="20"/>
      <c r="E889" s="19"/>
      <c r="F889" s="1"/>
      <c r="G889" s="121"/>
      <c r="H889" s="1"/>
      <c r="I889" s="1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1.25" customHeight="1" x14ac:dyDescent="0.3">
      <c r="A890" s="2"/>
      <c r="B890" s="19"/>
      <c r="C890" s="18"/>
      <c r="D890" s="20"/>
      <c r="E890" s="19"/>
      <c r="F890" s="1"/>
      <c r="G890" s="121"/>
      <c r="H890" s="1"/>
      <c r="I890" s="1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1.25" customHeight="1" x14ac:dyDescent="0.3">
      <c r="A891" s="2"/>
      <c r="B891" s="19"/>
      <c r="C891" s="18"/>
      <c r="D891" s="20"/>
      <c r="E891" s="19"/>
      <c r="F891" s="1"/>
      <c r="G891" s="121"/>
      <c r="H891" s="1"/>
      <c r="I891" s="1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1.25" customHeight="1" x14ac:dyDescent="0.3">
      <c r="A892" s="2"/>
      <c r="B892" s="19"/>
      <c r="C892" s="18"/>
      <c r="D892" s="20"/>
      <c r="E892" s="19"/>
      <c r="F892" s="1"/>
      <c r="G892" s="121"/>
      <c r="H892" s="1"/>
      <c r="I892" s="1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1.25" customHeight="1" x14ac:dyDescent="0.3">
      <c r="A893" s="2"/>
      <c r="B893" s="19"/>
      <c r="C893" s="18"/>
      <c r="D893" s="20"/>
      <c r="E893" s="19"/>
      <c r="F893" s="1"/>
      <c r="G893" s="121"/>
      <c r="H893" s="1"/>
      <c r="I893" s="1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1.25" customHeight="1" x14ac:dyDescent="0.3">
      <c r="A894" s="2"/>
      <c r="B894" s="19"/>
      <c r="C894" s="18"/>
      <c r="D894" s="20"/>
      <c r="E894" s="19"/>
      <c r="F894" s="1"/>
      <c r="G894" s="121"/>
      <c r="H894" s="1"/>
      <c r="I894" s="1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1.25" customHeight="1" x14ac:dyDescent="0.3">
      <c r="A895" s="2"/>
      <c r="B895" s="19"/>
      <c r="C895" s="18"/>
      <c r="D895" s="20"/>
      <c r="E895" s="19"/>
      <c r="F895" s="1"/>
      <c r="G895" s="121"/>
      <c r="H895" s="1"/>
      <c r="I895" s="1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1.25" customHeight="1" x14ac:dyDescent="0.3">
      <c r="A896" s="2"/>
      <c r="B896" s="19"/>
      <c r="C896" s="18"/>
      <c r="D896" s="20"/>
      <c r="E896" s="19"/>
      <c r="F896" s="1"/>
      <c r="G896" s="121"/>
      <c r="H896" s="1"/>
      <c r="I896" s="1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1.25" customHeight="1" x14ac:dyDescent="0.3">
      <c r="A897" s="2"/>
      <c r="B897" s="19"/>
      <c r="C897" s="18"/>
      <c r="D897" s="20"/>
      <c r="E897" s="19"/>
      <c r="F897" s="1"/>
      <c r="G897" s="121"/>
      <c r="H897" s="1"/>
      <c r="I897" s="1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1.25" customHeight="1" x14ac:dyDescent="0.3">
      <c r="A898" s="2"/>
      <c r="B898" s="19"/>
      <c r="C898" s="18"/>
      <c r="D898" s="20"/>
      <c r="E898" s="19"/>
      <c r="F898" s="1"/>
      <c r="G898" s="121"/>
      <c r="H898" s="1"/>
      <c r="I898" s="1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1.25" customHeight="1" x14ac:dyDescent="0.3">
      <c r="A899" s="2"/>
      <c r="B899" s="19"/>
      <c r="C899" s="18"/>
      <c r="D899" s="20"/>
      <c r="E899" s="19"/>
      <c r="F899" s="1"/>
      <c r="G899" s="121"/>
      <c r="H899" s="1"/>
      <c r="I899" s="1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1.25" customHeight="1" x14ac:dyDescent="0.3">
      <c r="A900" s="2"/>
      <c r="B900" s="19"/>
      <c r="C900" s="18"/>
      <c r="D900" s="20"/>
      <c r="E900" s="19"/>
      <c r="F900" s="1"/>
      <c r="G900" s="121"/>
      <c r="H900" s="1"/>
      <c r="I900" s="1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1.25" customHeight="1" x14ac:dyDescent="0.3">
      <c r="A901" s="2"/>
      <c r="B901" s="19"/>
      <c r="C901" s="18"/>
      <c r="D901" s="20"/>
      <c r="E901" s="19"/>
      <c r="F901" s="1"/>
      <c r="G901" s="121"/>
      <c r="H901" s="1"/>
      <c r="I901" s="1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1.25" customHeight="1" x14ac:dyDescent="0.3">
      <c r="A902" s="2"/>
      <c r="B902" s="19"/>
      <c r="C902" s="18"/>
      <c r="D902" s="20"/>
      <c r="E902" s="19"/>
      <c r="F902" s="1"/>
      <c r="G902" s="121"/>
      <c r="H902" s="1"/>
      <c r="I902" s="1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1.25" customHeight="1" x14ac:dyDescent="0.3">
      <c r="A903" s="2"/>
      <c r="B903" s="19"/>
      <c r="C903" s="18"/>
      <c r="D903" s="20"/>
      <c r="E903" s="19"/>
      <c r="F903" s="1"/>
      <c r="G903" s="121"/>
      <c r="H903" s="1"/>
      <c r="I903" s="1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1.25" customHeight="1" x14ac:dyDescent="0.3">
      <c r="A904" s="2"/>
      <c r="B904" s="19"/>
      <c r="C904" s="18"/>
      <c r="D904" s="20"/>
      <c r="E904" s="19"/>
      <c r="F904" s="1"/>
      <c r="G904" s="121"/>
      <c r="H904" s="1"/>
      <c r="I904" s="1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1.25" customHeight="1" x14ac:dyDescent="0.3">
      <c r="A905" s="2"/>
      <c r="B905" s="19"/>
      <c r="C905" s="18"/>
      <c r="D905" s="20"/>
      <c r="E905" s="19"/>
      <c r="F905" s="1"/>
      <c r="G905" s="121"/>
      <c r="H905" s="1"/>
      <c r="I905" s="1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1.25" customHeight="1" x14ac:dyDescent="0.3">
      <c r="A906" s="2"/>
      <c r="B906" s="19"/>
      <c r="C906" s="18"/>
      <c r="D906" s="20"/>
      <c r="E906" s="19"/>
      <c r="F906" s="1"/>
      <c r="G906" s="121"/>
      <c r="H906" s="1"/>
      <c r="I906" s="1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1.25" customHeight="1" x14ac:dyDescent="0.3">
      <c r="A907" s="2"/>
      <c r="B907" s="19"/>
      <c r="C907" s="18"/>
      <c r="D907" s="20"/>
      <c r="E907" s="19"/>
      <c r="F907" s="1"/>
      <c r="G907" s="121"/>
      <c r="H907" s="1"/>
      <c r="I907" s="1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1.25" customHeight="1" x14ac:dyDescent="0.3">
      <c r="A908" s="2"/>
      <c r="B908" s="19"/>
      <c r="C908" s="18"/>
      <c r="D908" s="20"/>
      <c r="E908" s="19"/>
      <c r="F908" s="1"/>
      <c r="G908" s="121"/>
      <c r="H908" s="1"/>
      <c r="I908" s="1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1.25" customHeight="1" x14ac:dyDescent="0.3">
      <c r="A909" s="2"/>
      <c r="B909" s="19"/>
      <c r="C909" s="18"/>
      <c r="D909" s="20"/>
      <c r="E909" s="19"/>
      <c r="F909" s="1"/>
      <c r="G909" s="121"/>
      <c r="H909" s="1"/>
      <c r="I909" s="1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1.25" customHeight="1" x14ac:dyDescent="0.3">
      <c r="A910" s="2"/>
      <c r="B910" s="19"/>
      <c r="C910" s="18"/>
      <c r="D910" s="20"/>
      <c r="E910" s="19"/>
      <c r="F910" s="1"/>
      <c r="G910" s="121"/>
      <c r="H910" s="1"/>
      <c r="I910" s="1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1.25" customHeight="1" x14ac:dyDescent="0.3">
      <c r="A911" s="2"/>
      <c r="B911" s="19"/>
      <c r="C911" s="18"/>
      <c r="D911" s="20"/>
      <c r="E911" s="19"/>
      <c r="F911" s="1"/>
      <c r="G911" s="121"/>
      <c r="H911" s="1"/>
      <c r="I911" s="1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1.25" customHeight="1" x14ac:dyDescent="0.3">
      <c r="A912" s="2"/>
      <c r="B912" s="19"/>
      <c r="C912" s="18"/>
      <c r="D912" s="20"/>
      <c r="E912" s="19"/>
      <c r="F912" s="1"/>
      <c r="G912" s="121"/>
      <c r="H912" s="1"/>
      <c r="I912" s="1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1.25" customHeight="1" x14ac:dyDescent="0.3">
      <c r="A913" s="2"/>
      <c r="B913" s="19"/>
      <c r="C913" s="18"/>
      <c r="D913" s="20"/>
      <c r="E913" s="19"/>
      <c r="F913" s="1"/>
      <c r="G913" s="121"/>
      <c r="H913" s="1"/>
      <c r="I913" s="1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1.25" customHeight="1" x14ac:dyDescent="0.3">
      <c r="A914" s="2"/>
      <c r="B914" s="19"/>
      <c r="C914" s="18"/>
      <c r="D914" s="20"/>
      <c r="E914" s="19"/>
      <c r="F914" s="1"/>
      <c r="G914" s="121"/>
      <c r="H914" s="1"/>
      <c r="I914" s="1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1.25" customHeight="1" x14ac:dyDescent="0.3">
      <c r="A915" s="2"/>
      <c r="B915" s="19"/>
      <c r="C915" s="18"/>
      <c r="D915" s="20"/>
      <c r="E915" s="19"/>
      <c r="F915" s="1"/>
      <c r="G915" s="121"/>
      <c r="H915" s="1"/>
      <c r="I915" s="1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1.25" customHeight="1" x14ac:dyDescent="0.3">
      <c r="A916" s="2"/>
      <c r="B916" s="19"/>
      <c r="C916" s="18"/>
      <c r="D916" s="20"/>
      <c r="E916" s="19"/>
      <c r="F916" s="1"/>
      <c r="G916" s="121"/>
      <c r="H916" s="1"/>
      <c r="I916" s="1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1.25" customHeight="1" x14ac:dyDescent="0.3">
      <c r="A917" s="2"/>
      <c r="B917" s="19"/>
      <c r="C917" s="18"/>
      <c r="D917" s="20"/>
      <c r="E917" s="19"/>
      <c r="F917" s="1"/>
      <c r="G917" s="121"/>
      <c r="H917" s="1"/>
      <c r="I917" s="1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1.25" customHeight="1" x14ac:dyDescent="0.3">
      <c r="A918" s="2"/>
      <c r="B918" s="19"/>
      <c r="C918" s="18"/>
      <c r="D918" s="20"/>
      <c r="E918" s="19"/>
      <c r="F918" s="1"/>
      <c r="G918" s="121"/>
      <c r="H918" s="1"/>
      <c r="I918" s="1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1.25" customHeight="1" x14ac:dyDescent="0.3">
      <c r="A919" s="2"/>
      <c r="B919" s="19"/>
      <c r="C919" s="18"/>
      <c r="D919" s="20"/>
      <c r="E919" s="19"/>
      <c r="F919" s="1"/>
      <c r="G919" s="121"/>
      <c r="H919" s="1"/>
      <c r="I919" s="1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1.25" customHeight="1" x14ac:dyDescent="0.3">
      <c r="A920" s="2"/>
      <c r="B920" s="19"/>
      <c r="C920" s="18"/>
      <c r="D920" s="20"/>
      <c r="E920" s="19"/>
      <c r="F920" s="1"/>
      <c r="G920" s="121"/>
      <c r="H920" s="1"/>
      <c r="I920" s="1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1.25" customHeight="1" x14ac:dyDescent="0.3">
      <c r="A921" s="2"/>
      <c r="B921" s="19"/>
      <c r="C921" s="18"/>
      <c r="D921" s="20"/>
      <c r="E921" s="19"/>
      <c r="F921" s="1"/>
      <c r="G921" s="121"/>
      <c r="H921" s="1"/>
      <c r="I921" s="1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1.25" customHeight="1" x14ac:dyDescent="0.3">
      <c r="A922" s="2"/>
      <c r="B922" s="19"/>
      <c r="C922" s="18"/>
      <c r="D922" s="20"/>
      <c r="E922" s="19"/>
      <c r="F922" s="1"/>
      <c r="G922" s="121"/>
      <c r="H922" s="1"/>
      <c r="I922" s="1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1.25" customHeight="1" x14ac:dyDescent="0.3">
      <c r="A923" s="2"/>
      <c r="B923" s="19"/>
      <c r="C923" s="18"/>
      <c r="D923" s="20"/>
      <c r="E923" s="19"/>
      <c r="F923" s="1"/>
      <c r="G923" s="121"/>
      <c r="H923" s="1"/>
      <c r="I923" s="1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1.25" customHeight="1" x14ac:dyDescent="0.3">
      <c r="A924" s="2"/>
      <c r="B924" s="19"/>
      <c r="C924" s="18"/>
      <c r="D924" s="20"/>
      <c r="E924" s="19"/>
      <c r="F924" s="1"/>
      <c r="G924" s="121"/>
      <c r="H924" s="1"/>
      <c r="I924" s="1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1.25" customHeight="1" x14ac:dyDescent="0.3">
      <c r="A925" s="2"/>
      <c r="B925" s="19"/>
      <c r="C925" s="18"/>
      <c r="D925" s="20"/>
      <c r="E925" s="19"/>
      <c r="F925" s="1"/>
      <c r="G925" s="121"/>
      <c r="H925" s="1"/>
      <c r="I925" s="1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1.25" customHeight="1" x14ac:dyDescent="0.3">
      <c r="A926" s="2"/>
      <c r="B926" s="19"/>
      <c r="C926" s="18"/>
      <c r="D926" s="20"/>
      <c r="E926" s="19"/>
      <c r="F926" s="1"/>
      <c r="G926" s="121"/>
      <c r="H926" s="1"/>
      <c r="I926" s="1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1.25" customHeight="1" x14ac:dyDescent="0.3">
      <c r="A927" s="2"/>
      <c r="B927" s="19"/>
      <c r="C927" s="18"/>
      <c r="D927" s="20"/>
      <c r="E927" s="19"/>
      <c r="F927" s="1"/>
      <c r="G927" s="121"/>
      <c r="H927" s="1"/>
      <c r="I927" s="1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1.25" customHeight="1" x14ac:dyDescent="0.3">
      <c r="A928" s="2"/>
      <c r="B928" s="19"/>
      <c r="C928" s="18"/>
      <c r="D928" s="20"/>
      <c r="E928" s="19"/>
      <c r="F928" s="1"/>
      <c r="G928" s="121"/>
      <c r="H928" s="1"/>
      <c r="I928" s="1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1.25" customHeight="1" x14ac:dyDescent="0.3">
      <c r="A929" s="2"/>
      <c r="B929" s="19"/>
      <c r="C929" s="18"/>
      <c r="D929" s="20"/>
      <c r="E929" s="19"/>
      <c r="F929" s="1"/>
      <c r="G929" s="121"/>
      <c r="H929" s="1"/>
      <c r="I929" s="1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1.25" customHeight="1" x14ac:dyDescent="0.3">
      <c r="A930" s="2"/>
      <c r="B930" s="19"/>
      <c r="C930" s="18"/>
      <c r="D930" s="20"/>
      <c r="E930" s="19"/>
      <c r="F930" s="1"/>
      <c r="G930" s="121"/>
      <c r="H930" s="1"/>
      <c r="I930" s="1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1.25" customHeight="1" x14ac:dyDescent="0.3">
      <c r="A931" s="2"/>
      <c r="B931" s="19"/>
      <c r="C931" s="18"/>
      <c r="D931" s="20"/>
      <c r="E931" s="19"/>
      <c r="F931" s="1"/>
      <c r="G931" s="121"/>
      <c r="H931" s="1"/>
      <c r="I931" s="1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1.25" customHeight="1" x14ac:dyDescent="0.3">
      <c r="A932" s="2"/>
      <c r="B932" s="19"/>
      <c r="C932" s="18"/>
      <c r="D932" s="20"/>
      <c r="E932" s="19"/>
      <c r="F932" s="1"/>
      <c r="G932" s="121"/>
      <c r="H932" s="1"/>
      <c r="I932" s="1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1.25" customHeight="1" x14ac:dyDescent="0.3">
      <c r="A933" s="2"/>
      <c r="B933" s="19"/>
      <c r="C933" s="18"/>
      <c r="D933" s="20"/>
      <c r="E933" s="19"/>
      <c r="F933" s="1"/>
      <c r="G933" s="121"/>
      <c r="H933" s="1"/>
      <c r="I933" s="1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1.25" customHeight="1" x14ac:dyDescent="0.3">
      <c r="A934" s="2"/>
      <c r="B934" s="19"/>
      <c r="C934" s="18"/>
      <c r="D934" s="20"/>
      <c r="E934" s="19"/>
      <c r="F934" s="1"/>
      <c r="G934" s="121"/>
      <c r="H934" s="1"/>
      <c r="I934" s="1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1.25" customHeight="1" x14ac:dyDescent="0.3">
      <c r="A935" s="2"/>
      <c r="B935" s="19"/>
      <c r="C935" s="18"/>
      <c r="D935" s="20"/>
      <c r="E935" s="19"/>
      <c r="F935" s="1"/>
      <c r="G935" s="121"/>
      <c r="H935" s="1"/>
      <c r="I935" s="1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1.25" customHeight="1" x14ac:dyDescent="0.3">
      <c r="A936" s="2"/>
      <c r="B936" s="19"/>
      <c r="C936" s="18"/>
      <c r="D936" s="20"/>
      <c r="E936" s="19"/>
      <c r="F936" s="1"/>
      <c r="G936" s="121"/>
      <c r="H936" s="1"/>
      <c r="I936" s="1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1.25" customHeight="1" x14ac:dyDescent="0.3">
      <c r="A937" s="2"/>
      <c r="B937" s="19"/>
      <c r="C937" s="18"/>
      <c r="D937" s="20"/>
      <c r="E937" s="19"/>
      <c r="F937" s="1"/>
      <c r="G937" s="121"/>
      <c r="H937" s="1"/>
      <c r="I937" s="1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1.25" customHeight="1" x14ac:dyDescent="0.3">
      <c r="A938" s="2"/>
      <c r="B938" s="19"/>
      <c r="C938" s="18"/>
      <c r="D938" s="20"/>
      <c r="E938" s="19"/>
      <c r="F938" s="1"/>
      <c r="G938" s="121"/>
      <c r="H938" s="1"/>
      <c r="I938" s="1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1.25" customHeight="1" x14ac:dyDescent="0.3">
      <c r="A939" s="2"/>
      <c r="B939" s="19"/>
      <c r="C939" s="18"/>
      <c r="D939" s="20"/>
      <c r="E939" s="19"/>
      <c r="F939" s="1"/>
      <c r="G939" s="121"/>
      <c r="H939" s="1"/>
      <c r="I939" s="1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1.25" customHeight="1" x14ac:dyDescent="0.3">
      <c r="A940" s="2"/>
      <c r="B940" s="19"/>
      <c r="C940" s="18"/>
      <c r="D940" s="20"/>
      <c r="E940" s="19"/>
      <c r="F940" s="1"/>
      <c r="G940" s="121"/>
      <c r="H940" s="1"/>
      <c r="I940" s="1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1.25" customHeight="1" x14ac:dyDescent="0.3">
      <c r="A941" s="2"/>
      <c r="B941" s="19"/>
      <c r="C941" s="18"/>
      <c r="D941" s="20"/>
      <c r="E941" s="19"/>
      <c r="F941" s="1"/>
      <c r="G941" s="121"/>
      <c r="H941" s="1"/>
      <c r="I941" s="1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1.25" customHeight="1" x14ac:dyDescent="0.3">
      <c r="A942" s="2"/>
      <c r="B942" s="19"/>
      <c r="C942" s="18"/>
      <c r="D942" s="20"/>
      <c r="E942" s="19"/>
      <c r="F942" s="1"/>
      <c r="G942" s="121"/>
      <c r="H942" s="1"/>
      <c r="I942" s="1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1.25" customHeight="1" x14ac:dyDescent="0.3">
      <c r="A943" s="2"/>
      <c r="B943" s="19"/>
      <c r="C943" s="18"/>
      <c r="D943" s="20"/>
      <c r="E943" s="19"/>
      <c r="F943" s="1"/>
      <c r="G943" s="121"/>
      <c r="H943" s="1"/>
      <c r="I943" s="1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1.25" customHeight="1" x14ac:dyDescent="0.3">
      <c r="A944" s="2"/>
      <c r="B944" s="19"/>
      <c r="C944" s="18"/>
      <c r="D944" s="20"/>
      <c r="E944" s="19"/>
      <c r="F944" s="1"/>
      <c r="G944" s="121"/>
      <c r="H944" s="1"/>
      <c r="I944" s="1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1.25" customHeight="1" x14ac:dyDescent="0.3">
      <c r="A945" s="2"/>
      <c r="B945" s="19"/>
      <c r="C945" s="18"/>
      <c r="D945" s="20"/>
      <c r="E945" s="19"/>
      <c r="F945" s="1"/>
      <c r="G945" s="121"/>
      <c r="H945" s="1"/>
      <c r="I945" s="1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1.25" customHeight="1" x14ac:dyDescent="0.3">
      <c r="A946" s="2"/>
      <c r="B946" s="19"/>
      <c r="C946" s="18"/>
      <c r="D946" s="20"/>
      <c r="E946" s="19"/>
      <c r="F946" s="1"/>
      <c r="G946" s="121"/>
      <c r="H946" s="1"/>
      <c r="I946" s="1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1.25" customHeight="1" x14ac:dyDescent="0.3">
      <c r="A947" s="2"/>
      <c r="B947" s="19"/>
      <c r="C947" s="18"/>
      <c r="D947" s="20"/>
      <c r="E947" s="19"/>
      <c r="F947" s="1"/>
      <c r="G947" s="121"/>
      <c r="H947" s="1"/>
      <c r="I947" s="1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1.25" customHeight="1" x14ac:dyDescent="0.3">
      <c r="A948" s="2"/>
      <c r="B948" s="19"/>
      <c r="C948" s="18"/>
      <c r="D948" s="20"/>
      <c r="E948" s="19"/>
      <c r="F948" s="1"/>
      <c r="G948" s="121"/>
      <c r="H948" s="1"/>
      <c r="I948" s="1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1.25" customHeight="1" x14ac:dyDescent="0.3">
      <c r="A949" s="2"/>
      <c r="B949" s="19"/>
      <c r="C949" s="18"/>
      <c r="D949" s="20"/>
      <c r="E949" s="19"/>
      <c r="F949" s="1"/>
      <c r="G949" s="121"/>
      <c r="H949" s="1"/>
      <c r="I949" s="1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1.25" customHeight="1" x14ac:dyDescent="0.3">
      <c r="A950" s="2"/>
      <c r="B950" s="19"/>
      <c r="C950" s="18"/>
      <c r="D950" s="20"/>
      <c r="E950" s="19"/>
      <c r="F950" s="1"/>
      <c r="G950" s="121"/>
      <c r="H950" s="1"/>
      <c r="I950" s="1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1.25" customHeight="1" x14ac:dyDescent="0.3">
      <c r="A951" s="2"/>
      <c r="B951" s="19"/>
      <c r="C951" s="18"/>
      <c r="D951" s="20"/>
      <c r="E951" s="19"/>
      <c r="F951" s="1"/>
      <c r="G951" s="121"/>
      <c r="H951" s="1"/>
      <c r="I951" s="1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1.25" customHeight="1" x14ac:dyDescent="0.3">
      <c r="A952" s="2"/>
      <c r="B952" s="19"/>
      <c r="C952" s="18"/>
      <c r="D952" s="20"/>
      <c r="E952" s="19"/>
      <c r="F952" s="1"/>
      <c r="G952" s="121"/>
      <c r="H952" s="1"/>
      <c r="I952" s="1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1.25" customHeight="1" x14ac:dyDescent="0.3">
      <c r="A953" s="2"/>
      <c r="B953" s="19"/>
      <c r="C953" s="18"/>
      <c r="D953" s="20"/>
      <c r="E953" s="19"/>
      <c r="F953" s="1"/>
      <c r="G953" s="121"/>
      <c r="H953" s="1"/>
      <c r="I953" s="1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1.25" customHeight="1" x14ac:dyDescent="0.3">
      <c r="A954" s="2"/>
      <c r="B954" s="19"/>
      <c r="C954" s="18"/>
      <c r="D954" s="20"/>
      <c r="E954" s="19"/>
      <c r="F954" s="1"/>
      <c r="G954" s="121"/>
      <c r="H954" s="1"/>
      <c r="I954" s="1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1.25" customHeight="1" x14ac:dyDescent="0.3">
      <c r="A955" s="2"/>
      <c r="B955" s="19"/>
      <c r="C955" s="18"/>
      <c r="D955" s="20"/>
      <c r="E955" s="19"/>
      <c r="F955" s="1"/>
      <c r="G955" s="121"/>
      <c r="H955" s="1"/>
      <c r="I955" s="1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1.25" customHeight="1" x14ac:dyDescent="0.3">
      <c r="A956" s="2"/>
      <c r="B956" s="19"/>
      <c r="C956" s="18"/>
      <c r="D956" s="20"/>
      <c r="E956" s="19"/>
      <c r="F956" s="1"/>
      <c r="G956" s="121"/>
      <c r="H956" s="1"/>
      <c r="I956" s="1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1.25" customHeight="1" x14ac:dyDescent="0.3">
      <c r="A957" s="2"/>
      <c r="B957" s="19"/>
      <c r="C957" s="18"/>
      <c r="D957" s="20"/>
      <c r="E957" s="19"/>
      <c r="F957" s="1"/>
      <c r="G957" s="121"/>
      <c r="H957" s="1"/>
      <c r="I957" s="1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1.25" customHeight="1" x14ac:dyDescent="0.3">
      <c r="A958" s="2"/>
      <c r="B958" s="19"/>
      <c r="C958" s="18"/>
      <c r="D958" s="20"/>
      <c r="E958" s="19"/>
      <c r="F958" s="1"/>
      <c r="G958" s="121"/>
      <c r="H958" s="1"/>
      <c r="I958" s="1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1.25" customHeight="1" x14ac:dyDescent="0.3">
      <c r="A959" s="2"/>
      <c r="B959" s="19"/>
      <c r="C959" s="18"/>
      <c r="D959" s="20"/>
      <c r="E959" s="19"/>
      <c r="F959" s="1"/>
      <c r="G959" s="121"/>
      <c r="H959" s="1"/>
      <c r="I959" s="1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1.25" customHeight="1" x14ac:dyDescent="0.3">
      <c r="A960" s="2"/>
      <c r="B960" s="19"/>
      <c r="C960" s="18"/>
      <c r="D960" s="20"/>
      <c r="E960" s="19"/>
      <c r="F960" s="1"/>
      <c r="G960" s="121"/>
      <c r="H960" s="1"/>
      <c r="I960" s="1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1.25" customHeight="1" x14ac:dyDescent="0.3">
      <c r="A961" s="2"/>
      <c r="B961" s="19"/>
      <c r="C961" s="18"/>
      <c r="D961" s="20"/>
      <c r="E961" s="19"/>
      <c r="F961" s="1"/>
      <c r="G961" s="121"/>
      <c r="H961" s="1"/>
      <c r="I961" s="1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1.25" customHeight="1" x14ac:dyDescent="0.3">
      <c r="A962" s="2"/>
      <c r="B962" s="19"/>
      <c r="C962" s="18"/>
      <c r="D962" s="20"/>
      <c r="E962" s="19"/>
      <c r="F962" s="1"/>
      <c r="G962" s="121"/>
      <c r="H962" s="1"/>
      <c r="I962" s="1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1.25" customHeight="1" x14ac:dyDescent="0.3">
      <c r="A963" s="2"/>
      <c r="B963" s="19"/>
      <c r="C963" s="18"/>
      <c r="D963" s="20"/>
      <c r="E963" s="19"/>
      <c r="F963" s="1"/>
      <c r="G963" s="121"/>
      <c r="H963" s="1"/>
      <c r="I963" s="1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1.25" customHeight="1" x14ac:dyDescent="0.3">
      <c r="A964" s="2"/>
      <c r="B964" s="19"/>
      <c r="C964" s="18"/>
      <c r="D964" s="20"/>
      <c r="E964" s="19"/>
      <c r="F964" s="1"/>
      <c r="G964" s="121"/>
      <c r="H964" s="1"/>
      <c r="I964" s="1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1.25" customHeight="1" x14ac:dyDescent="0.3">
      <c r="A965" s="2"/>
      <c r="B965" s="19"/>
      <c r="C965" s="18"/>
      <c r="D965" s="20"/>
      <c r="E965" s="19"/>
      <c r="F965" s="1"/>
      <c r="G965" s="121"/>
      <c r="H965" s="1"/>
      <c r="I965" s="1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1.25" customHeight="1" x14ac:dyDescent="0.3">
      <c r="A966" s="2"/>
      <c r="B966" s="19"/>
      <c r="C966" s="18"/>
      <c r="D966" s="20"/>
      <c r="E966" s="19"/>
      <c r="F966" s="1"/>
      <c r="G966" s="121"/>
      <c r="H966" s="1"/>
      <c r="I966" s="1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1.25" customHeight="1" x14ac:dyDescent="0.3">
      <c r="A967" s="2"/>
      <c r="B967" s="19"/>
      <c r="C967" s="18"/>
      <c r="D967" s="20"/>
      <c r="E967" s="19"/>
      <c r="F967" s="1"/>
      <c r="G967" s="121"/>
      <c r="H967" s="1"/>
      <c r="I967" s="1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1.25" customHeight="1" x14ac:dyDescent="0.3">
      <c r="A968" s="2"/>
      <c r="B968" s="19"/>
      <c r="C968" s="18"/>
      <c r="D968" s="20"/>
      <c r="E968" s="19"/>
      <c r="F968" s="1"/>
      <c r="G968" s="121"/>
      <c r="H968" s="1"/>
      <c r="I968" s="1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1.25" customHeight="1" x14ac:dyDescent="0.3">
      <c r="A969" s="2"/>
      <c r="B969" s="19"/>
      <c r="C969" s="18"/>
      <c r="D969" s="20"/>
      <c r="E969" s="19"/>
      <c r="F969" s="1"/>
      <c r="G969" s="121"/>
      <c r="H969" s="1"/>
      <c r="I969" s="1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1.25" customHeight="1" x14ac:dyDescent="0.3">
      <c r="A970" s="2"/>
      <c r="B970" s="19"/>
      <c r="C970" s="18"/>
      <c r="D970" s="20"/>
      <c r="E970" s="19"/>
      <c r="F970" s="1"/>
      <c r="G970" s="121"/>
      <c r="H970" s="1"/>
      <c r="I970" s="1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1.25" customHeight="1" x14ac:dyDescent="0.3">
      <c r="A971" s="2"/>
      <c r="B971" s="19"/>
      <c r="C971" s="18"/>
      <c r="D971" s="20"/>
      <c r="E971" s="19"/>
      <c r="F971" s="1"/>
      <c r="G971" s="121"/>
      <c r="H971" s="1"/>
      <c r="I971" s="1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1.25" customHeight="1" x14ac:dyDescent="0.3">
      <c r="A972" s="2"/>
      <c r="B972" s="19"/>
      <c r="C972" s="18"/>
      <c r="D972" s="20"/>
      <c r="E972" s="19"/>
      <c r="F972" s="1"/>
      <c r="G972" s="121"/>
      <c r="H972" s="1"/>
      <c r="I972" s="1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1.25" customHeight="1" x14ac:dyDescent="0.3">
      <c r="A973" s="2"/>
      <c r="B973" s="19"/>
      <c r="C973" s="18"/>
      <c r="D973" s="20"/>
      <c r="E973" s="19"/>
      <c r="F973" s="1"/>
      <c r="G973" s="121"/>
      <c r="H973" s="1"/>
      <c r="I973" s="1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1.25" customHeight="1" x14ac:dyDescent="0.3">
      <c r="A974" s="2"/>
      <c r="B974" s="19"/>
      <c r="C974" s="18"/>
      <c r="D974" s="20"/>
      <c r="E974" s="19"/>
      <c r="F974" s="1"/>
      <c r="G974" s="121"/>
      <c r="H974" s="1"/>
      <c r="I974" s="1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1.25" customHeight="1" x14ac:dyDescent="0.3">
      <c r="A975" s="2"/>
      <c r="B975" s="19"/>
      <c r="C975" s="18"/>
      <c r="D975" s="20"/>
      <c r="E975" s="19"/>
      <c r="F975" s="1"/>
      <c r="G975" s="121"/>
      <c r="H975" s="1"/>
      <c r="I975" s="1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1.25" customHeight="1" x14ac:dyDescent="0.3">
      <c r="A976" s="2"/>
      <c r="B976" s="19"/>
      <c r="C976" s="18"/>
      <c r="D976" s="20"/>
      <c r="E976" s="19"/>
      <c r="F976" s="1"/>
      <c r="G976" s="121"/>
      <c r="H976" s="1"/>
      <c r="I976" s="1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1.25" customHeight="1" x14ac:dyDescent="0.3">
      <c r="A977" s="2"/>
      <c r="B977" s="19"/>
      <c r="C977" s="18"/>
      <c r="D977" s="20"/>
      <c r="E977" s="19"/>
      <c r="F977" s="1"/>
      <c r="G977" s="121"/>
      <c r="H977" s="1"/>
      <c r="I977" s="1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1.25" customHeight="1" x14ac:dyDescent="0.3">
      <c r="A978" s="2"/>
      <c r="B978" s="19"/>
      <c r="C978" s="18"/>
      <c r="D978" s="20"/>
      <c r="E978" s="19"/>
      <c r="F978" s="1"/>
      <c r="G978" s="121"/>
      <c r="H978" s="1"/>
      <c r="I978" s="1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1.25" customHeight="1" x14ac:dyDescent="0.3">
      <c r="A979" s="2"/>
      <c r="B979" s="19"/>
      <c r="C979" s="18"/>
      <c r="D979" s="20"/>
      <c r="E979" s="19"/>
      <c r="F979" s="1"/>
      <c r="G979" s="121"/>
      <c r="H979" s="1"/>
      <c r="I979" s="1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1.25" customHeight="1" x14ac:dyDescent="0.3">
      <c r="A980" s="2"/>
      <c r="B980" s="19"/>
      <c r="C980" s="18"/>
      <c r="D980" s="20"/>
      <c r="E980" s="19"/>
      <c r="F980" s="1"/>
      <c r="G980" s="121"/>
      <c r="H980" s="1"/>
      <c r="I980" s="1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1.25" customHeight="1" x14ac:dyDescent="0.3">
      <c r="A981" s="2"/>
      <c r="B981" s="19"/>
      <c r="C981" s="18"/>
      <c r="D981" s="20"/>
      <c r="E981" s="19"/>
      <c r="F981" s="1"/>
      <c r="G981" s="121"/>
      <c r="H981" s="1"/>
      <c r="I981" s="1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1.25" customHeight="1" x14ac:dyDescent="0.3">
      <c r="A982" s="2"/>
      <c r="B982" s="19"/>
      <c r="C982" s="18"/>
      <c r="D982" s="20"/>
      <c r="E982" s="19"/>
      <c r="F982" s="1"/>
      <c r="G982" s="121"/>
      <c r="H982" s="1"/>
      <c r="I982" s="1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1.25" customHeight="1" x14ac:dyDescent="0.3">
      <c r="A983" s="2"/>
      <c r="B983" s="19"/>
      <c r="C983" s="18"/>
      <c r="D983" s="20"/>
      <c r="E983" s="19"/>
      <c r="F983" s="1"/>
      <c r="G983" s="121"/>
      <c r="H983" s="1"/>
      <c r="I983" s="1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1.25" customHeight="1" x14ac:dyDescent="0.3">
      <c r="A984" s="2"/>
      <c r="B984" s="19"/>
      <c r="C984" s="18"/>
      <c r="D984" s="20"/>
      <c r="E984" s="19"/>
      <c r="F984" s="1"/>
      <c r="G984" s="121"/>
      <c r="H984" s="1"/>
      <c r="I984" s="1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1.25" customHeight="1" x14ac:dyDescent="0.3">
      <c r="A985" s="2"/>
      <c r="B985" s="19"/>
      <c r="C985" s="18"/>
      <c r="D985" s="20"/>
      <c r="E985" s="19"/>
      <c r="F985" s="1"/>
      <c r="G985" s="121"/>
      <c r="H985" s="1"/>
      <c r="I985" s="1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1.25" customHeight="1" x14ac:dyDescent="0.3">
      <c r="A986" s="2"/>
      <c r="B986" s="19"/>
      <c r="C986" s="18"/>
      <c r="D986" s="20"/>
      <c r="E986" s="19"/>
      <c r="F986" s="1"/>
      <c r="G986" s="121"/>
      <c r="H986" s="1"/>
      <c r="I986" s="1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1.25" customHeight="1" x14ac:dyDescent="0.3">
      <c r="A987" s="2"/>
      <c r="B987" s="19"/>
      <c r="C987" s="18"/>
      <c r="D987" s="20"/>
      <c r="E987" s="19"/>
      <c r="F987" s="1"/>
      <c r="G987" s="121"/>
      <c r="H987" s="1"/>
      <c r="I987" s="1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1.25" customHeight="1" x14ac:dyDescent="0.3">
      <c r="A988" s="2"/>
      <c r="B988" s="19"/>
      <c r="C988" s="18"/>
      <c r="D988" s="20"/>
      <c r="E988" s="19"/>
      <c r="F988" s="1"/>
      <c r="G988" s="121"/>
      <c r="H988" s="1"/>
      <c r="I988" s="1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1.25" customHeight="1" x14ac:dyDescent="0.3">
      <c r="A989" s="2"/>
      <c r="B989" s="19"/>
      <c r="C989" s="18"/>
      <c r="D989" s="20"/>
      <c r="E989" s="19"/>
      <c r="F989" s="1"/>
      <c r="G989" s="121"/>
      <c r="H989" s="1"/>
      <c r="I989" s="1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1.25" customHeight="1" x14ac:dyDescent="0.3">
      <c r="A990" s="2"/>
      <c r="B990" s="19"/>
      <c r="C990" s="18"/>
      <c r="D990" s="20"/>
      <c r="E990" s="19"/>
      <c r="F990" s="1"/>
      <c r="G990" s="121"/>
      <c r="H990" s="1"/>
      <c r="I990" s="1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1.25" customHeight="1" x14ac:dyDescent="0.3">
      <c r="A991" s="2"/>
      <c r="B991" s="19"/>
      <c r="C991" s="18"/>
      <c r="D991" s="20"/>
      <c r="E991" s="19"/>
      <c r="F991" s="1"/>
      <c r="G991" s="121"/>
      <c r="H991" s="1"/>
      <c r="I991" s="1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1.25" customHeight="1" x14ac:dyDescent="0.3">
      <c r="A992" s="2"/>
      <c r="B992" s="19"/>
      <c r="C992" s="18"/>
      <c r="D992" s="20"/>
      <c r="E992" s="19"/>
      <c r="F992" s="1"/>
      <c r="G992" s="121"/>
      <c r="H992" s="1"/>
      <c r="I992" s="1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1.25" customHeight="1" x14ac:dyDescent="0.3">
      <c r="A993" s="2"/>
      <c r="B993" s="19"/>
      <c r="C993" s="18"/>
      <c r="D993" s="20"/>
      <c r="E993" s="19"/>
      <c r="F993" s="1"/>
      <c r="G993" s="121"/>
      <c r="H993" s="1"/>
      <c r="I993" s="1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1.25" customHeight="1" x14ac:dyDescent="0.3">
      <c r="A994" s="2"/>
      <c r="B994" s="19"/>
      <c r="C994" s="18"/>
      <c r="D994" s="20"/>
      <c r="E994" s="19"/>
      <c r="F994" s="1"/>
      <c r="G994" s="121"/>
      <c r="H994" s="1"/>
      <c r="I994" s="1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1.25" customHeight="1" x14ac:dyDescent="0.3">
      <c r="A995" s="2"/>
      <c r="B995" s="19"/>
      <c r="C995" s="18"/>
      <c r="D995" s="20"/>
      <c r="E995" s="19"/>
      <c r="F995" s="1"/>
      <c r="G995" s="121"/>
      <c r="H995" s="1"/>
      <c r="I995" s="1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1.25" customHeight="1" x14ac:dyDescent="0.3">
      <c r="A996" s="2"/>
      <c r="B996" s="19"/>
      <c r="C996" s="18"/>
      <c r="D996" s="20"/>
      <c r="E996" s="19"/>
      <c r="F996" s="1"/>
      <c r="G996" s="121"/>
      <c r="H996" s="1"/>
      <c r="I996" s="1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1.25" customHeight="1" x14ac:dyDescent="0.3">
      <c r="A997" s="2"/>
      <c r="B997" s="19"/>
      <c r="C997" s="18"/>
      <c r="D997" s="20"/>
      <c r="E997" s="19"/>
      <c r="F997" s="1"/>
      <c r="G997" s="121"/>
      <c r="H997" s="1"/>
      <c r="I997" s="1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1.25" customHeight="1" x14ac:dyDescent="0.3">
      <c r="A998" s="2"/>
      <c r="B998" s="19"/>
      <c r="C998" s="18"/>
      <c r="D998" s="20"/>
      <c r="E998" s="19"/>
      <c r="F998" s="1"/>
      <c r="G998" s="121"/>
      <c r="H998" s="1"/>
      <c r="I998" s="1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1.25" customHeight="1" x14ac:dyDescent="0.3">
      <c r="A999" s="2"/>
      <c r="B999" s="19"/>
      <c r="C999" s="18"/>
      <c r="D999" s="20"/>
      <c r="E999" s="19"/>
      <c r="F999" s="1"/>
      <c r="G999" s="121"/>
      <c r="H999" s="1"/>
      <c r="I999" s="1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1.25" customHeight="1" x14ac:dyDescent="0.3">
      <c r="A1000" s="2"/>
      <c r="B1000" s="19"/>
      <c r="C1000" s="18"/>
      <c r="D1000" s="20"/>
      <c r="E1000" s="19"/>
      <c r="F1000" s="1"/>
      <c r="G1000" s="121"/>
      <c r="H1000" s="1"/>
      <c r="I1000" s="1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:22" ht="11.25" customHeight="1" x14ac:dyDescent="0.3">
      <c r="A1001" s="2"/>
      <c r="B1001" s="19"/>
      <c r="C1001" s="18"/>
      <c r="D1001" s="20"/>
      <c r="E1001" s="19"/>
      <c r="F1001" s="1"/>
      <c r="G1001" s="121"/>
      <c r="H1001" s="1"/>
      <c r="I1001" s="18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:22" ht="11.25" customHeight="1" x14ac:dyDescent="0.3">
      <c r="A1002" s="2"/>
      <c r="B1002" s="19"/>
      <c r="C1002" s="18"/>
      <c r="D1002" s="20"/>
      <c r="E1002" s="19"/>
      <c r="F1002" s="1"/>
      <c r="G1002" s="121"/>
      <c r="H1002" s="1"/>
      <c r="I1002" s="18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:22" ht="11.25" customHeight="1" x14ac:dyDescent="0.3">
      <c r="A1003" s="2"/>
      <c r="B1003" s="19"/>
      <c r="C1003" s="18"/>
      <c r="D1003" s="20"/>
      <c r="E1003" s="19"/>
      <c r="F1003" s="1"/>
      <c r="G1003" s="121"/>
      <c r="H1003" s="1"/>
      <c r="I1003" s="18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:22" ht="11.25" customHeight="1" x14ac:dyDescent="0.3">
      <c r="A1004" s="2"/>
      <c r="B1004" s="19"/>
      <c r="C1004" s="18"/>
      <c r="D1004" s="20"/>
      <c r="E1004" s="19"/>
      <c r="F1004" s="1"/>
      <c r="G1004" s="121"/>
      <c r="H1004" s="1"/>
      <c r="I1004" s="18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ht="11.25" customHeight="1" x14ac:dyDescent="0.3">
      <c r="A1005" s="2"/>
      <c r="B1005" s="19"/>
      <c r="C1005" s="18"/>
      <c r="D1005" s="20"/>
      <c r="E1005" s="19"/>
      <c r="F1005" s="1"/>
      <c r="G1005" s="121"/>
      <c r="H1005" s="1"/>
      <c r="I1005" s="18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:22" ht="11.25" customHeight="1" x14ac:dyDescent="0.3">
      <c r="A1006" s="2"/>
      <c r="B1006" s="19"/>
      <c r="C1006" s="18"/>
      <c r="D1006" s="20"/>
      <c r="E1006" s="19"/>
      <c r="F1006" s="1"/>
      <c r="G1006" s="121"/>
      <c r="H1006" s="1"/>
      <c r="I1006" s="18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:22" ht="11.25" customHeight="1" x14ac:dyDescent="0.3">
      <c r="A1007" s="2"/>
      <c r="B1007" s="19"/>
      <c r="C1007" s="18"/>
      <c r="D1007" s="20"/>
      <c r="E1007" s="19"/>
      <c r="F1007" s="1"/>
      <c r="G1007" s="121"/>
      <c r="H1007" s="1"/>
      <c r="I1007" s="18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:22" ht="11.25" customHeight="1" x14ac:dyDescent="0.3">
      <c r="A1008" s="2"/>
      <c r="B1008" s="19"/>
      <c r="C1008" s="18"/>
      <c r="D1008" s="20"/>
      <c r="E1008" s="19"/>
      <c r="F1008" s="1"/>
      <c r="G1008" s="121"/>
      <c r="H1008" s="1"/>
      <c r="I1008" s="18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:22" ht="11.25" customHeight="1" x14ac:dyDescent="0.3">
      <c r="A1009" s="2"/>
      <c r="B1009" s="19"/>
      <c r="C1009" s="18"/>
      <c r="D1009" s="20"/>
      <c r="E1009" s="19"/>
      <c r="F1009" s="1"/>
      <c r="G1009" s="121"/>
      <c r="H1009" s="1"/>
      <c r="I1009" s="18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:22" ht="11.25" customHeight="1" x14ac:dyDescent="0.3">
      <c r="A1010" s="2"/>
      <c r="B1010" s="19"/>
      <c r="C1010" s="18"/>
      <c r="D1010" s="20"/>
      <c r="E1010" s="19"/>
      <c r="F1010" s="1"/>
      <c r="G1010" s="121"/>
      <c r="H1010" s="1"/>
      <c r="I1010" s="18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:22" ht="11.25" customHeight="1" x14ac:dyDescent="0.3">
      <c r="A1011" s="2"/>
      <c r="B1011" s="19"/>
      <c r="C1011" s="18"/>
      <c r="D1011" s="20"/>
      <c r="E1011" s="19"/>
      <c r="F1011" s="1"/>
      <c r="G1011" s="121"/>
      <c r="H1011" s="1"/>
      <c r="I1011" s="18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:22" ht="11.25" customHeight="1" x14ac:dyDescent="0.3">
      <c r="A1012" s="2"/>
      <c r="B1012" s="19"/>
      <c r="C1012" s="18"/>
      <c r="D1012" s="20"/>
      <c r="E1012" s="19"/>
      <c r="F1012" s="1"/>
      <c r="G1012" s="121"/>
      <c r="H1012" s="1"/>
      <c r="I1012" s="18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:22" ht="11.25" customHeight="1" x14ac:dyDescent="0.3">
      <c r="A1013" s="2"/>
      <c r="B1013" s="19"/>
      <c r="C1013" s="18"/>
      <c r="D1013" s="20"/>
      <c r="E1013" s="19"/>
      <c r="F1013" s="1"/>
      <c r="G1013" s="121"/>
      <c r="H1013" s="1"/>
      <c r="I1013" s="18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:22" ht="11.25" customHeight="1" x14ac:dyDescent="0.3">
      <c r="A1014" s="2"/>
      <c r="B1014" s="19"/>
      <c r="C1014" s="18"/>
      <c r="D1014" s="20"/>
      <c r="E1014" s="19"/>
      <c r="F1014" s="1"/>
      <c r="G1014" s="121"/>
      <c r="H1014" s="1"/>
      <c r="I1014" s="18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:22" ht="11.25" customHeight="1" x14ac:dyDescent="0.3">
      <c r="A1015" s="2"/>
      <c r="B1015" s="19"/>
      <c r="C1015" s="18"/>
      <c r="D1015" s="20"/>
      <c r="E1015" s="19"/>
      <c r="F1015" s="1"/>
      <c r="G1015" s="121"/>
      <c r="H1015" s="1"/>
      <c r="I1015" s="18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:22" ht="11.25" customHeight="1" x14ac:dyDescent="0.3">
      <c r="A1016" s="2"/>
      <c r="B1016" s="19"/>
      <c r="C1016" s="18"/>
      <c r="D1016" s="20"/>
      <c r="E1016" s="19"/>
      <c r="F1016" s="1"/>
      <c r="G1016" s="121"/>
      <c r="H1016" s="1"/>
      <c r="I1016" s="18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:22" ht="11.25" customHeight="1" x14ac:dyDescent="0.3">
      <c r="A1017" s="2"/>
      <c r="B1017" s="19"/>
      <c r="C1017" s="18"/>
      <c r="D1017" s="20"/>
      <c r="E1017" s="19"/>
      <c r="F1017" s="1"/>
      <c r="G1017" s="121"/>
      <c r="H1017" s="1"/>
      <c r="I1017" s="18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:22" ht="11.25" customHeight="1" x14ac:dyDescent="0.3">
      <c r="A1018" s="2"/>
      <c r="B1018" s="19"/>
      <c r="C1018" s="18"/>
      <c r="D1018" s="20"/>
      <c r="E1018" s="19"/>
      <c r="F1018" s="1"/>
      <c r="G1018" s="121"/>
      <c r="H1018" s="1"/>
      <c r="I1018" s="18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:22" ht="11.25" customHeight="1" x14ac:dyDescent="0.3">
      <c r="A1019" s="2"/>
      <c r="B1019" s="19"/>
      <c r="C1019" s="18"/>
      <c r="D1019" s="20"/>
      <c r="E1019" s="19"/>
      <c r="F1019" s="1"/>
      <c r="G1019" s="121"/>
      <c r="H1019" s="1"/>
      <c r="I1019" s="18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:22" ht="11.25" customHeight="1" x14ac:dyDescent="0.3">
      <c r="A1020" s="2"/>
      <c r="B1020" s="19"/>
      <c r="C1020" s="18"/>
      <c r="D1020" s="20"/>
      <c r="E1020" s="19"/>
      <c r="F1020" s="1"/>
      <c r="G1020" s="121"/>
      <c r="H1020" s="1"/>
      <c r="I1020" s="18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:22" ht="11.25" customHeight="1" x14ac:dyDescent="0.3">
      <c r="A1021" s="2"/>
      <c r="B1021" s="19"/>
      <c r="C1021" s="18"/>
      <c r="D1021" s="20"/>
      <c r="E1021" s="19"/>
      <c r="F1021" s="1"/>
      <c r="G1021" s="121"/>
      <c r="H1021" s="1"/>
      <c r="I1021" s="18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spans="1:22" ht="11.25" customHeight="1" x14ac:dyDescent="0.3">
      <c r="A1022" s="2"/>
      <c r="B1022" s="19"/>
      <c r="C1022" s="18"/>
      <c r="D1022" s="20"/>
      <c r="E1022" s="19"/>
      <c r="F1022" s="1"/>
      <c r="G1022" s="121"/>
      <c r="H1022" s="1"/>
      <c r="I1022" s="18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:22" ht="11.25" customHeight="1" x14ac:dyDescent="0.3">
      <c r="A1023" s="2"/>
      <c r="B1023" s="19"/>
      <c r="C1023" s="18"/>
      <c r="D1023" s="20"/>
      <c r="E1023" s="19"/>
      <c r="F1023" s="1"/>
      <c r="G1023" s="121"/>
      <c r="H1023" s="1"/>
      <c r="I1023" s="18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:22" ht="11.25" customHeight="1" x14ac:dyDescent="0.3">
      <c r="A1024" s="2"/>
      <c r="B1024" s="19"/>
      <c r="C1024" s="18"/>
      <c r="D1024" s="20"/>
      <c r="E1024" s="19"/>
      <c r="F1024" s="1"/>
      <c r="G1024" s="121"/>
      <c r="H1024" s="1"/>
      <c r="I1024" s="18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:22" ht="11.25" customHeight="1" x14ac:dyDescent="0.3">
      <c r="A1025" s="2"/>
      <c r="B1025" s="19"/>
      <c r="C1025" s="18"/>
      <c r="D1025" s="20"/>
      <c r="E1025" s="19"/>
      <c r="F1025" s="1"/>
      <c r="G1025" s="121"/>
      <c r="H1025" s="1"/>
      <c r="I1025" s="18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spans="1:22" ht="11.25" customHeight="1" x14ac:dyDescent="0.3">
      <c r="A1026" s="2"/>
      <c r="B1026" s="19"/>
      <c r="C1026" s="18"/>
      <c r="D1026" s="20"/>
      <c r="E1026" s="19"/>
      <c r="F1026" s="1"/>
      <c r="G1026" s="121"/>
      <c r="H1026" s="1"/>
      <c r="I1026" s="18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spans="1:22" ht="11.25" customHeight="1" x14ac:dyDescent="0.3">
      <c r="A1027" s="2"/>
      <c r="B1027" s="19"/>
      <c r="C1027" s="18"/>
      <c r="D1027" s="20"/>
      <c r="E1027" s="19"/>
      <c r="F1027" s="1"/>
      <c r="G1027" s="121"/>
      <c r="H1027" s="1"/>
      <c r="I1027" s="18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spans="1:22" ht="11.25" customHeight="1" x14ac:dyDescent="0.3">
      <c r="A1028" s="2"/>
      <c r="B1028" s="19"/>
      <c r="C1028" s="18"/>
      <c r="D1028" s="20"/>
      <c r="E1028" s="19"/>
      <c r="F1028" s="1"/>
      <c r="G1028" s="121"/>
      <c r="H1028" s="1"/>
      <c r="I1028" s="18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:22" ht="11.25" customHeight="1" x14ac:dyDescent="0.3">
      <c r="A1029" s="2"/>
      <c r="B1029" s="19"/>
      <c r="C1029" s="18"/>
      <c r="D1029" s="20"/>
      <c r="E1029" s="19"/>
      <c r="F1029" s="1"/>
      <c r="G1029" s="121"/>
      <c r="H1029" s="1"/>
      <c r="I1029" s="18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spans="1:22" ht="11.25" customHeight="1" x14ac:dyDescent="0.3">
      <c r="A1030" s="2"/>
      <c r="B1030" s="19"/>
      <c r="C1030" s="18"/>
      <c r="D1030" s="20"/>
      <c r="E1030" s="19"/>
      <c r="F1030" s="1"/>
      <c r="G1030" s="121"/>
      <c r="H1030" s="1"/>
      <c r="I1030" s="18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spans="1:22" ht="11.25" customHeight="1" x14ac:dyDescent="0.3">
      <c r="A1031" s="2"/>
      <c r="B1031" s="19"/>
      <c r="C1031" s="18"/>
      <c r="D1031" s="20"/>
      <c r="E1031" s="19"/>
      <c r="F1031" s="1"/>
      <c r="G1031" s="121"/>
      <c r="H1031" s="1"/>
      <c r="I1031" s="18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spans="1:22" ht="11.25" customHeight="1" x14ac:dyDescent="0.3">
      <c r="A1032" s="2"/>
      <c r="B1032" s="19"/>
      <c r="C1032" s="18"/>
      <c r="D1032" s="20"/>
      <c r="E1032" s="19"/>
      <c r="F1032" s="1"/>
      <c r="G1032" s="121"/>
      <c r="H1032" s="1"/>
      <c r="I1032" s="18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:22" ht="11.25" customHeight="1" x14ac:dyDescent="0.3">
      <c r="A1033" s="2"/>
      <c r="B1033" s="19"/>
      <c r="C1033" s="18"/>
      <c r="D1033" s="20"/>
      <c r="E1033" s="19"/>
      <c r="F1033" s="1"/>
      <c r="G1033" s="121"/>
      <c r="H1033" s="1"/>
      <c r="I1033" s="18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:22" ht="11.25" customHeight="1" x14ac:dyDescent="0.3">
      <c r="A1034" s="2"/>
      <c r="B1034" s="19"/>
      <c r="C1034" s="18"/>
      <c r="D1034" s="20"/>
      <c r="E1034" s="19"/>
      <c r="F1034" s="1"/>
      <c r="G1034" s="121"/>
      <c r="H1034" s="1"/>
      <c r="I1034" s="18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:22" ht="11.25" customHeight="1" x14ac:dyDescent="0.3">
      <c r="A1035" s="2"/>
      <c r="B1035" s="19"/>
      <c r="C1035" s="18"/>
      <c r="D1035" s="20"/>
      <c r="E1035" s="19"/>
      <c r="F1035" s="1"/>
      <c r="G1035" s="121"/>
      <c r="H1035" s="1"/>
      <c r="I1035" s="18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spans="1:22" ht="11.25" customHeight="1" x14ac:dyDescent="0.3">
      <c r="A1036" s="2"/>
      <c r="B1036" s="19"/>
      <c r="C1036" s="18"/>
      <c r="D1036" s="20"/>
      <c r="E1036" s="19"/>
      <c r="F1036" s="1"/>
      <c r="G1036" s="121"/>
      <c r="H1036" s="1"/>
      <c r="I1036" s="18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:22" ht="11.25" customHeight="1" x14ac:dyDescent="0.3">
      <c r="A1037" s="2"/>
      <c r="B1037" s="19"/>
      <c r="C1037" s="18"/>
      <c r="D1037" s="20"/>
      <c r="E1037" s="19"/>
      <c r="F1037" s="1"/>
      <c r="G1037" s="121"/>
      <c r="H1037" s="1"/>
      <c r="I1037" s="18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spans="1:22" ht="11.25" customHeight="1" x14ac:dyDescent="0.3">
      <c r="A1038" s="2"/>
      <c r="B1038" s="19"/>
      <c r="C1038" s="18"/>
      <c r="D1038" s="20"/>
      <c r="E1038" s="19"/>
      <c r="F1038" s="1"/>
      <c r="G1038" s="121"/>
      <c r="H1038" s="1"/>
      <c r="I1038" s="18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spans="1:22" ht="11.25" customHeight="1" x14ac:dyDescent="0.3">
      <c r="A1039" s="2"/>
      <c r="B1039" s="19"/>
      <c r="C1039" s="18"/>
      <c r="D1039" s="20"/>
      <c r="E1039" s="19"/>
      <c r="F1039" s="1"/>
      <c r="G1039" s="121"/>
      <c r="H1039" s="1"/>
      <c r="I1039" s="18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spans="1:22" ht="11.25" customHeight="1" x14ac:dyDescent="0.3">
      <c r="A1040" s="2"/>
      <c r="B1040" s="19"/>
      <c r="C1040" s="18"/>
      <c r="D1040" s="20"/>
      <c r="E1040" s="19"/>
      <c r="F1040" s="1"/>
      <c r="G1040" s="121"/>
      <c r="H1040" s="1"/>
      <c r="I1040" s="18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:22" ht="11.25" customHeight="1" x14ac:dyDescent="0.3">
      <c r="A1041" s="2"/>
      <c r="B1041" s="19"/>
      <c r="C1041" s="18"/>
      <c r="D1041" s="20"/>
      <c r="E1041" s="19"/>
      <c r="F1041" s="1"/>
      <c r="G1041" s="121"/>
      <c r="H1041" s="1"/>
      <c r="I1041" s="18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spans="1:22" ht="11.25" customHeight="1" x14ac:dyDescent="0.3">
      <c r="A1042" s="2"/>
      <c r="B1042" s="19"/>
      <c r="C1042" s="18"/>
      <c r="D1042" s="20"/>
      <c r="E1042" s="19"/>
      <c r="F1042" s="1"/>
      <c r="G1042" s="121"/>
      <c r="H1042" s="1"/>
      <c r="I1042" s="18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spans="1:22" ht="11.25" customHeight="1" x14ac:dyDescent="0.3">
      <c r="A1043" s="2"/>
      <c r="B1043" s="19"/>
      <c r="C1043" s="18"/>
      <c r="D1043" s="20"/>
      <c r="E1043" s="19"/>
      <c r="F1043" s="1"/>
      <c r="G1043" s="121"/>
      <c r="H1043" s="1"/>
      <c r="I1043" s="18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spans="1:22" ht="11.25" customHeight="1" x14ac:dyDescent="0.3">
      <c r="A1044" s="2"/>
      <c r="B1044" s="19"/>
      <c r="C1044" s="18"/>
      <c r="D1044" s="20"/>
      <c r="E1044" s="19"/>
      <c r="F1044" s="1"/>
      <c r="G1044" s="121"/>
      <c r="H1044" s="1"/>
      <c r="I1044" s="18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spans="1:22" ht="11.25" customHeight="1" x14ac:dyDescent="0.3">
      <c r="A1045" s="2"/>
      <c r="B1045" s="19"/>
      <c r="C1045" s="18"/>
      <c r="D1045" s="20"/>
      <c r="E1045" s="19"/>
      <c r="F1045" s="1"/>
      <c r="G1045" s="121"/>
      <c r="H1045" s="1"/>
      <c r="I1045" s="18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spans="1:22" ht="11.25" customHeight="1" x14ac:dyDescent="0.3">
      <c r="A1046" s="2"/>
      <c r="B1046" s="19"/>
      <c r="C1046" s="18"/>
      <c r="D1046" s="20"/>
      <c r="E1046" s="19"/>
      <c r="F1046" s="1"/>
      <c r="G1046" s="121"/>
      <c r="H1046" s="1"/>
      <c r="I1046" s="18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spans="1:22" ht="11.25" customHeight="1" x14ac:dyDescent="0.3">
      <c r="A1047" s="2"/>
      <c r="B1047" s="19"/>
      <c r="C1047" s="18"/>
      <c r="D1047" s="20"/>
      <c r="E1047" s="19"/>
      <c r="F1047" s="1"/>
      <c r="G1047" s="121"/>
      <c r="H1047" s="1"/>
      <c r="I1047" s="18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spans="1:22" ht="11.25" customHeight="1" x14ac:dyDescent="0.3">
      <c r="A1048" s="2"/>
      <c r="B1048" s="19"/>
      <c r="C1048" s="18"/>
      <c r="D1048" s="20"/>
      <c r="E1048" s="19"/>
      <c r="F1048" s="1"/>
      <c r="G1048" s="121"/>
      <c r="H1048" s="1"/>
      <c r="I1048" s="18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spans="1:22" ht="11.25" customHeight="1" x14ac:dyDescent="0.3">
      <c r="A1049" s="2"/>
      <c r="B1049" s="19"/>
      <c r="C1049" s="18"/>
      <c r="D1049" s="20"/>
      <c r="E1049" s="19"/>
      <c r="F1049" s="1"/>
      <c r="G1049" s="121"/>
      <c r="H1049" s="1"/>
      <c r="I1049" s="18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spans="1:22" ht="11.25" customHeight="1" x14ac:dyDescent="0.3">
      <c r="A1050" s="2"/>
      <c r="B1050" s="19"/>
      <c r="C1050" s="18"/>
      <c r="D1050" s="20"/>
      <c r="E1050" s="19"/>
      <c r="F1050" s="1"/>
      <c r="G1050" s="121"/>
      <c r="H1050" s="1"/>
      <c r="I1050" s="18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spans="1:22" ht="11.25" customHeight="1" x14ac:dyDescent="0.3">
      <c r="A1051" s="2"/>
      <c r="B1051" s="19"/>
      <c r="C1051" s="18"/>
      <c r="D1051" s="20"/>
      <c r="E1051" s="19"/>
      <c r="F1051" s="1"/>
      <c r="G1051" s="121"/>
      <c r="H1051" s="1"/>
      <c r="I1051" s="18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spans="1:22" ht="11.25" customHeight="1" x14ac:dyDescent="0.3">
      <c r="A1052" s="2"/>
      <c r="B1052" s="19"/>
      <c r="C1052" s="18"/>
      <c r="D1052" s="20"/>
      <c r="E1052" s="19"/>
      <c r="F1052" s="1"/>
      <c r="G1052" s="121"/>
      <c r="H1052" s="1"/>
      <c r="I1052" s="18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 spans="1:22" ht="11.25" customHeight="1" x14ac:dyDescent="0.3">
      <c r="A1053" s="2"/>
      <c r="B1053" s="19"/>
      <c r="C1053" s="18"/>
      <c r="D1053" s="20"/>
      <c r="E1053" s="19"/>
      <c r="F1053" s="1"/>
      <c r="G1053" s="121"/>
      <c r="H1053" s="1"/>
      <c r="I1053" s="18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spans="1:22" ht="11.25" customHeight="1" x14ac:dyDescent="0.3">
      <c r="A1054" s="2"/>
      <c r="B1054" s="19"/>
      <c r="C1054" s="18"/>
      <c r="D1054" s="20"/>
      <c r="E1054" s="19"/>
      <c r="F1054" s="1"/>
      <c r="G1054" s="121"/>
      <c r="H1054" s="1"/>
      <c r="I1054" s="18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 spans="1:22" ht="11.25" customHeight="1" x14ac:dyDescent="0.3">
      <c r="A1055" s="2"/>
      <c r="B1055" s="19"/>
      <c r="C1055" s="18"/>
      <c r="D1055" s="20"/>
      <c r="E1055" s="19"/>
      <c r="F1055" s="1"/>
      <c r="G1055" s="121"/>
      <c r="H1055" s="1"/>
      <c r="I1055" s="18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spans="1:22" ht="11.25" customHeight="1" x14ac:dyDescent="0.3">
      <c r="A1056" s="2"/>
      <c r="B1056" s="19"/>
      <c r="C1056" s="18"/>
      <c r="D1056" s="20"/>
      <c r="E1056" s="19"/>
      <c r="F1056" s="1"/>
      <c r="G1056" s="121"/>
      <c r="H1056" s="1"/>
      <c r="I1056" s="18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 spans="1:22" ht="11.25" customHeight="1" x14ac:dyDescent="0.3">
      <c r="A1057" s="2"/>
      <c r="B1057" s="19"/>
      <c r="C1057" s="18"/>
      <c r="D1057" s="20"/>
      <c r="E1057" s="19"/>
      <c r="F1057" s="1"/>
      <c r="G1057" s="121"/>
      <c r="H1057" s="1"/>
      <c r="I1057" s="18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spans="1:22" ht="11.25" customHeight="1" x14ac:dyDescent="0.3">
      <c r="A1058" s="2"/>
      <c r="B1058" s="19"/>
      <c r="C1058" s="18"/>
      <c r="D1058" s="20"/>
      <c r="E1058" s="19"/>
      <c r="F1058" s="1"/>
      <c r="G1058" s="121"/>
      <c r="H1058" s="1"/>
      <c r="I1058" s="18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 spans="1:22" ht="11.25" customHeight="1" x14ac:dyDescent="0.3">
      <c r="A1059" s="2"/>
      <c r="B1059" s="19"/>
      <c r="C1059" s="18"/>
      <c r="D1059" s="20"/>
      <c r="E1059" s="19"/>
      <c r="F1059" s="1"/>
      <c r="G1059" s="121"/>
      <c r="H1059" s="1"/>
      <c r="I1059" s="18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spans="1:22" ht="11.25" customHeight="1" x14ac:dyDescent="0.3">
      <c r="A1060" s="2"/>
      <c r="B1060" s="19"/>
      <c r="C1060" s="18"/>
      <c r="D1060" s="20"/>
      <c r="E1060" s="19"/>
      <c r="F1060" s="1"/>
      <c r="G1060" s="121"/>
      <c r="H1060" s="1"/>
      <c r="I1060" s="18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 spans="1:22" ht="11.25" customHeight="1" x14ac:dyDescent="0.3">
      <c r="A1061" s="2"/>
      <c r="B1061" s="19"/>
      <c r="C1061" s="18"/>
      <c r="D1061" s="20"/>
      <c r="E1061" s="19"/>
      <c r="F1061" s="1"/>
      <c r="G1061" s="121"/>
      <c r="H1061" s="1"/>
      <c r="I1061" s="18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spans="1:22" ht="11.25" customHeight="1" x14ac:dyDescent="0.3">
      <c r="A1062" s="2"/>
      <c r="B1062" s="19"/>
      <c r="C1062" s="18"/>
      <c r="D1062" s="20"/>
      <c r="E1062" s="19"/>
      <c r="F1062" s="1"/>
      <c r="G1062" s="121"/>
      <c r="H1062" s="1"/>
      <c r="I1062" s="18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 spans="1:22" ht="11.25" customHeight="1" x14ac:dyDescent="0.3">
      <c r="A1063" s="2"/>
      <c r="B1063" s="19"/>
      <c r="C1063" s="18"/>
      <c r="D1063" s="20"/>
      <c r="E1063" s="19"/>
      <c r="F1063" s="1"/>
      <c r="G1063" s="121"/>
      <c r="H1063" s="1"/>
      <c r="I1063" s="18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spans="1:22" ht="11.25" customHeight="1" x14ac:dyDescent="0.3">
      <c r="A1064" s="2"/>
      <c r="B1064" s="19"/>
      <c r="C1064" s="18"/>
      <c r="D1064" s="20"/>
      <c r="E1064" s="19"/>
      <c r="F1064" s="1"/>
      <c r="G1064" s="121"/>
      <c r="H1064" s="1"/>
      <c r="I1064" s="18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 spans="1:22" ht="11.25" customHeight="1" x14ac:dyDescent="0.3">
      <c r="A1065" s="2"/>
      <c r="B1065" s="19"/>
      <c r="C1065" s="18"/>
      <c r="D1065" s="20"/>
      <c r="E1065" s="19"/>
      <c r="F1065" s="1"/>
      <c r="G1065" s="121"/>
      <c r="H1065" s="1"/>
      <c r="I1065" s="18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spans="1:22" ht="11.25" customHeight="1" x14ac:dyDescent="0.3">
      <c r="A1066" s="2"/>
      <c r="B1066" s="19"/>
      <c r="C1066" s="18"/>
      <c r="D1066" s="20"/>
      <c r="E1066" s="19"/>
      <c r="F1066" s="1"/>
      <c r="G1066" s="121"/>
      <c r="H1066" s="1"/>
      <c r="I1066" s="18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 spans="1:22" ht="11.25" customHeight="1" x14ac:dyDescent="0.3">
      <c r="A1067" s="2"/>
      <c r="B1067" s="19"/>
      <c r="C1067" s="18"/>
      <c r="D1067" s="20"/>
      <c r="E1067" s="19"/>
      <c r="F1067" s="1"/>
      <c r="G1067" s="121"/>
      <c r="H1067" s="1"/>
      <c r="I1067" s="18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spans="1:22" ht="11.25" customHeight="1" x14ac:dyDescent="0.3">
      <c r="A1068" s="2"/>
      <c r="B1068" s="19"/>
      <c r="C1068" s="18"/>
      <c r="D1068" s="20"/>
      <c r="E1068" s="19"/>
      <c r="F1068" s="1"/>
      <c r="G1068" s="121"/>
      <c r="H1068" s="1"/>
      <c r="I1068" s="18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 spans="1:22" ht="11.25" customHeight="1" x14ac:dyDescent="0.3">
      <c r="A1069" s="2"/>
      <c r="B1069" s="19"/>
      <c r="C1069" s="18"/>
      <c r="D1069" s="20"/>
      <c r="E1069" s="19"/>
      <c r="F1069" s="1"/>
      <c r="G1069" s="121"/>
      <c r="H1069" s="1"/>
      <c r="I1069" s="18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spans="1:22" ht="11.25" customHeight="1" x14ac:dyDescent="0.3">
      <c r="A1070" s="2"/>
      <c r="B1070" s="19"/>
      <c r="C1070" s="18"/>
      <c r="D1070" s="20"/>
      <c r="E1070" s="19"/>
      <c r="F1070" s="1"/>
      <c r="G1070" s="121"/>
      <c r="H1070" s="1"/>
      <c r="I1070" s="18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spans="1:22" ht="11.25" customHeight="1" x14ac:dyDescent="0.3">
      <c r="A1071" s="2"/>
      <c r="B1071" s="19"/>
      <c r="C1071" s="18"/>
      <c r="D1071" s="20"/>
      <c r="E1071" s="19"/>
      <c r="F1071" s="1"/>
      <c r="G1071" s="121"/>
      <c r="H1071" s="1"/>
      <c r="I1071" s="18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</sheetData>
  <mergeCells count="2">
    <mergeCell ref="B5:J6"/>
    <mergeCell ref="B7:J7"/>
  </mergeCells>
  <phoneticPr fontId="8" type="noConversion"/>
  <pageMargins left="0.511811023622047" right="0.511811023622047" top="0.78740157480314998" bottom="0.78740157480314998" header="0" footer="0"/>
  <pageSetup paperSize="9" scale="72" fitToHeight="0" orientation="landscape" r:id="rId1"/>
  <headerFooter>
    <oddFooter>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B4584247C9246A6A11A28407B9459" ma:contentTypeVersion="18" ma:contentTypeDescription="Create a new document." ma:contentTypeScope="" ma:versionID="2f5efae93cbff4b77c35cf40b1a38d4b">
  <xsd:schema xmlns:xsd="http://www.w3.org/2001/XMLSchema" xmlns:xs="http://www.w3.org/2001/XMLSchema" xmlns:p="http://schemas.microsoft.com/office/2006/metadata/properties" xmlns:ns2="a74cd6e7-e03e-4df7-87f4-aa261c7cbb42" xmlns:ns3="1f7d52e9-53a0-4b3a-ab81-e779734c34fe" targetNamespace="http://schemas.microsoft.com/office/2006/metadata/properties" ma:root="true" ma:fieldsID="477e0734c35c80e2b885e52b715bc546" ns2:_="" ns3:_="">
    <xsd:import namespace="a74cd6e7-e03e-4df7-87f4-aa261c7cbb42"/>
    <xsd:import namespace="1f7d52e9-53a0-4b3a-ab81-e779734c3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cd6e7-e03e-4df7-87f4-aa261c7cbb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22bf13f-19bd-475c-ac65-9a47842706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52e9-53a0-4b3a-ab81-e779734c34f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619b879-9a33-4b04-8b1b-ca4848722ad4}" ma:internalName="TaxCatchAll" ma:showField="CatchAllData" ma:web="1f7d52e9-53a0-4b3a-ab81-e779734c3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Props1.xml><?xml version="1.0" encoding="utf-8"?>
<ds:datastoreItem xmlns:ds="http://schemas.openxmlformats.org/officeDocument/2006/customXml" ds:itemID="{BDB5C113-AB89-4ED1-BA46-E8F56A9353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4cd6e7-e03e-4df7-87f4-aa261c7cbb42"/>
    <ds:schemaRef ds:uri="1f7d52e9-53a0-4b3a-ab81-e779734c3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192DBF-6540-4246-8B38-A389591447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ABAD4F-46E7-4C8B-819A-493BB193B57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Orçamento sugerido</vt:lpstr>
      <vt:lpstr>'Orçamento sugerido'!Print_Titles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</dc:creator>
  <cp:keywords/>
  <dc:description/>
  <cp:lastModifiedBy>Freitas, Aline (WKM)</cp:lastModifiedBy>
  <cp:revision/>
  <cp:lastPrinted>2026-02-11T19:37:03Z</cp:lastPrinted>
  <dcterms:created xsi:type="dcterms:W3CDTF">2020-05-18T17:20:39Z</dcterms:created>
  <dcterms:modified xsi:type="dcterms:W3CDTF">2026-02-12T15:59:06Z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{33ABAD4F-46E7-4C8B-819A-493BB193B571}</vt:lpwstr>
  </property>
</Properties>
</file>